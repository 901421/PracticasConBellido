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maño" sheetId="1" r:id="rId4"/>
  </sheets>
  <definedNames/>
  <calcPr/>
  <extLst>
    <ext uri="GoogleSheetsCustomDataVersion2">
      <go:sheetsCustomData xmlns:go="http://customooxmlschemas.google.com/" r:id="rId5" roundtripDataChecksum="g73DKG+UnsmcPf4en7sZPS/WEW1nLTBXBQ4hR0/Hx5Q="/>
    </ext>
  </extLst>
</workbook>
</file>

<file path=xl/sharedStrings.xml><?xml version="1.0" encoding="utf-8"?>
<sst xmlns="http://schemas.openxmlformats.org/spreadsheetml/2006/main" count="53" uniqueCount="53">
  <si>
    <t>Horas/TOSM (1,5 - 4)</t>
  </si>
  <si>
    <t>Medida</t>
  </si>
  <si>
    <t>Tamaño</t>
  </si>
  <si>
    <t>Nº TOSM</t>
  </si>
  <si>
    <t>Horas</t>
  </si>
  <si>
    <t>Modelo de datos ( nº entidades;&lt;10=25TOSM, 10-25=28TOSM, &gt;25=35TOSM)</t>
  </si>
  <si>
    <t>Documento requisitos (nº páginas; 1 pag=15 TOSM)</t>
  </si>
  <si>
    <t>Pantallas (nº pantallas; 1 pant=8 TOSM)</t>
  </si>
  <si>
    <t>Código fuente (KLOC * estilo Objective C)</t>
  </si>
  <si>
    <t>Tamaño código "SistemaReservas"</t>
  </si>
  <si>
    <t>LOC</t>
  </si>
  <si>
    <t>SendAbstraction</t>
  </si>
  <si>
    <t>SendImplementor</t>
  </si>
  <si>
    <t>SendAbstractionImpl</t>
  </si>
  <si>
    <t>SMSImplementor</t>
  </si>
  <si>
    <t>WhatsAppImplementor</t>
  </si>
  <si>
    <t>ReservaConQuads</t>
  </si>
  <si>
    <t>ReservaQuad</t>
  </si>
  <si>
    <t>Reserva</t>
  </si>
  <si>
    <t>Quad</t>
  </si>
  <si>
    <t>QuadDao</t>
  </si>
  <si>
    <t>ReservaDao</t>
  </si>
  <si>
    <t>QuadRoomDatabase</t>
  </si>
  <si>
    <t>ReservaRepository</t>
  </si>
  <si>
    <t>QuadRepository</t>
  </si>
  <si>
    <t>QuadViewHolder</t>
  </si>
  <si>
    <t>ReservaViewHolder</t>
  </si>
  <si>
    <t>SelectedQuad</t>
  </si>
  <si>
    <t>QuadListAdapter</t>
  </si>
  <si>
    <t>QuadViewModel</t>
  </si>
  <si>
    <t>TestActivity</t>
  </si>
  <si>
    <t>ReservaListAdapter</t>
  </si>
  <si>
    <t>QuadEdit</t>
  </si>
  <si>
    <t>SistemaReservas</t>
  </si>
  <si>
    <t>QuadSelectionAdapter</t>
  </si>
  <si>
    <t>QuadListActivity</t>
  </si>
  <si>
    <t>ReservaViewModel</t>
  </si>
  <si>
    <t>TestRunner</t>
  </si>
  <si>
    <t>QuadSelectionActivity</t>
  </si>
  <si>
    <t>ReservaEdit</t>
  </si>
  <si>
    <t>ReservaListActivity</t>
  </si>
  <si>
    <t>Total</t>
  </si>
  <si>
    <t>Correspondencia KLOC - Lenguaje de programación</t>
  </si>
  <si>
    <t>1 KLOC (Kilo Lines of Code)</t>
  </si>
  <si>
    <t>nº TOSM</t>
  </si>
  <si>
    <t>C</t>
  </si>
  <si>
    <t>Algol, Cobol, Fortran</t>
  </si>
  <si>
    <t>PL/1</t>
  </si>
  <si>
    <t>Lisp, basic</t>
  </si>
  <si>
    <t>4GL database</t>
  </si>
  <si>
    <t>Objective C</t>
  </si>
  <si>
    <t>Smalltalk</t>
  </si>
  <si>
    <t>Query languages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</si>
</sst>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</font>
    <font/>
  </fonts>
  <fills count="3">
    <fill>
      <patternFill patternType="none"/>
    </fill>
    <fill>
      <patternFill patternType="lightGray"/>
    </fill>
    <fill>
      <patternFill patternType="solid">
        <fgColor rgb="FFFBD4B4"/>
        <bgColor rgb="FFFBD4B4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0" fontId="2" numFmtId="0" xfId="0" applyAlignment="1" applyBorder="1" applyFont="1">
      <alignment readingOrder="0"/>
    </xf>
    <xf borderId="0" fillId="0" fontId="2" numFmtId="0" xfId="0" applyFont="1"/>
    <xf borderId="0" fillId="0" fontId="1" numFmtId="0" xfId="0" applyFont="1"/>
    <xf borderId="1" fillId="0" fontId="2" numFmtId="0" xfId="0" applyAlignment="1" applyBorder="1" applyFont="1">
      <alignment shrinkToFit="0" wrapText="1"/>
    </xf>
    <xf borderId="0" fillId="0" fontId="3" numFmtId="0" xfId="0" applyAlignment="1" applyFont="1">
      <alignment readingOrder="0"/>
    </xf>
    <xf borderId="1" fillId="0" fontId="2" numFmtId="0" xfId="0" applyBorder="1" applyFont="1"/>
    <xf borderId="1" fillId="0" fontId="2" numFmtId="2" xfId="0" applyBorder="1" applyFont="1" applyNumberFormat="1"/>
    <xf borderId="1" fillId="2" fontId="1" numFmtId="0" xfId="0" applyAlignment="1" applyBorder="1" applyFont="1">
      <alignment readingOrder="0"/>
    </xf>
    <xf borderId="1" fillId="0" fontId="2" numFmtId="0" xfId="0" applyAlignment="1" applyBorder="1" applyFont="1">
      <alignment readingOrder="0" shrinkToFit="0" wrapText="1"/>
    </xf>
    <xf borderId="1" fillId="0" fontId="1" numFmtId="0" xfId="0" applyBorder="1" applyFont="1"/>
    <xf borderId="2" fillId="2" fontId="1" numFmtId="0" xfId="0" applyAlignment="1" applyBorder="1" applyFont="1">
      <alignment horizontal="center"/>
    </xf>
    <xf borderId="3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5.86"/>
    <col customWidth="1" min="2" max="3" width="12.29"/>
    <col customWidth="1" min="4" max="4" width="8.86"/>
    <col customWidth="1" min="5" max="5" width="10.71"/>
    <col customWidth="1" min="6" max="6" width="9.57"/>
    <col customWidth="1" min="7" max="26" width="10.71"/>
  </cols>
  <sheetData>
    <row r="1">
      <c r="A1" s="1" t="s">
        <v>0</v>
      </c>
      <c r="B1" s="2">
        <v>2.0</v>
      </c>
      <c r="C1" s="3"/>
    </row>
    <row r="3">
      <c r="A3" s="1" t="s">
        <v>1</v>
      </c>
      <c r="B3" s="1" t="s">
        <v>2</v>
      </c>
      <c r="C3" s="1" t="s">
        <v>3</v>
      </c>
      <c r="D3" s="1" t="s">
        <v>4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 t="s">
        <v>5</v>
      </c>
      <c r="B4" s="6">
        <v>3.0</v>
      </c>
      <c r="C4" s="7">
        <v>25.0</v>
      </c>
      <c r="D4" s="7">
        <f t="shared" ref="D4:D7" si="1">$B$1*C4</f>
        <v>50</v>
      </c>
    </row>
    <row r="5">
      <c r="A5" s="7" t="s">
        <v>6</v>
      </c>
      <c r="B5" s="7">
        <v>2.0</v>
      </c>
      <c r="C5" s="7">
        <f>B5*15</f>
        <v>30</v>
      </c>
      <c r="D5" s="7">
        <f t="shared" si="1"/>
        <v>60</v>
      </c>
    </row>
    <row r="6">
      <c r="A6" s="7" t="s">
        <v>7</v>
      </c>
      <c r="B6" s="2">
        <v>8.0</v>
      </c>
      <c r="C6" s="7">
        <f>B6*8</f>
        <v>64</v>
      </c>
      <c r="D6" s="7">
        <f t="shared" si="1"/>
        <v>128</v>
      </c>
    </row>
    <row r="7">
      <c r="A7" s="7" t="s">
        <v>8</v>
      </c>
      <c r="B7" s="8">
        <f>B40/1000</f>
        <v>3.866</v>
      </c>
      <c r="C7" s="8">
        <f>B7*B49</f>
        <v>150.774</v>
      </c>
      <c r="D7" s="8">
        <f t="shared" si="1"/>
        <v>301.548</v>
      </c>
    </row>
    <row r="9">
      <c r="A9" s="9" t="s">
        <v>9</v>
      </c>
      <c r="B9" s="1" t="s">
        <v>10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2" t="s">
        <v>11</v>
      </c>
      <c r="B10" s="2">
        <v>19.0</v>
      </c>
    </row>
    <row r="11">
      <c r="A11" s="2" t="s">
        <v>12</v>
      </c>
      <c r="B11" s="2">
        <v>36.0</v>
      </c>
    </row>
    <row r="12">
      <c r="A12" s="2" t="s">
        <v>13</v>
      </c>
      <c r="B12" s="2">
        <v>46.0</v>
      </c>
    </row>
    <row r="13">
      <c r="A13" s="2" t="s">
        <v>14</v>
      </c>
      <c r="B13" s="2">
        <v>59.0</v>
      </c>
    </row>
    <row r="14">
      <c r="A14" s="2" t="s">
        <v>15</v>
      </c>
      <c r="B14" s="2">
        <v>91.0</v>
      </c>
    </row>
    <row r="15">
      <c r="A15" s="2" t="s">
        <v>16</v>
      </c>
      <c r="B15" s="2">
        <v>39.0</v>
      </c>
    </row>
    <row r="16">
      <c r="A16" s="2" t="s">
        <v>17</v>
      </c>
      <c r="B16" s="2">
        <v>73.0</v>
      </c>
    </row>
    <row r="17">
      <c r="A17" s="2" t="s">
        <v>18</v>
      </c>
      <c r="B17" s="2">
        <v>74.0</v>
      </c>
    </row>
    <row r="18">
      <c r="A18" s="2" t="s">
        <v>19</v>
      </c>
      <c r="B18" s="2">
        <v>85.0</v>
      </c>
    </row>
    <row r="19">
      <c r="A19" s="2" t="s">
        <v>20</v>
      </c>
      <c r="B19" s="2">
        <v>88.0</v>
      </c>
    </row>
    <row r="20">
      <c r="A20" s="2" t="s">
        <v>21</v>
      </c>
      <c r="B20" s="2">
        <v>107.0</v>
      </c>
    </row>
    <row r="21">
      <c r="A21" s="2" t="s">
        <v>22</v>
      </c>
      <c r="B21" s="2">
        <v>115.0</v>
      </c>
    </row>
    <row r="22">
      <c r="A22" s="2" t="s">
        <v>23</v>
      </c>
      <c r="B22" s="2">
        <v>172.0</v>
      </c>
    </row>
    <row r="23">
      <c r="A23" s="2" t="s">
        <v>24</v>
      </c>
      <c r="B23" s="2">
        <v>179.0</v>
      </c>
    </row>
    <row r="24">
      <c r="A24" s="2" t="s">
        <v>25</v>
      </c>
      <c r="B24" s="2">
        <v>77.0</v>
      </c>
    </row>
    <row r="25">
      <c r="A25" s="2" t="s">
        <v>26</v>
      </c>
      <c r="B25" s="2">
        <v>81.0</v>
      </c>
    </row>
    <row r="26">
      <c r="A26" s="2" t="s">
        <v>27</v>
      </c>
      <c r="B26" s="2">
        <v>82.0</v>
      </c>
    </row>
    <row r="27">
      <c r="A27" s="2" t="s">
        <v>28</v>
      </c>
      <c r="B27" s="2">
        <v>101.0</v>
      </c>
    </row>
    <row r="28">
      <c r="A28" s="2" t="s">
        <v>29</v>
      </c>
      <c r="B28" s="2">
        <v>104.0</v>
      </c>
    </row>
    <row r="29">
      <c r="A29" s="2" t="s">
        <v>30</v>
      </c>
      <c r="B29" s="2">
        <v>109.0</v>
      </c>
    </row>
    <row r="30">
      <c r="A30" s="2" t="s">
        <v>31</v>
      </c>
      <c r="B30" s="2">
        <v>115.0</v>
      </c>
    </row>
    <row r="31">
      <c r="A31" s="2" t="s">
        <v>32</v>
      </c>
      <c r="B31" s="2">
        <v>146.0</v>
      </c>
    </row>
    <row r="32">
      <c r="A32" s="2" t="s">
        <v>33</v>
      </c>
      <c r="B32" s="2">
        <v>147.0</v>
      </c>
    </row>
    <row r="33">
      <c r="A33" s="2" t="s">
        <v>34</v>
      </c>
      <c r="B33" s="2">
        <v>181.0</v>
      </c>
    </row>
    <row r="34">
      <c r="A34" s="2" t="s">
        <v>35</v>
      </c>
      <c r="B34" s="2">
        <v>186.0</v>
      </c>
    </row>
    <row r="35">
      <c r="A35" s="2" t="s">
        <v>36</v>
      </c>
      <c r="B35" s="2">
        <v>188.0</v>
      </c>
    </row>
    <row r="36">
      <c r="A36" s="2" t="s">
        <v>37</v>
      </c>
      <c r="B36" s="2">
        <v>243.0</v>
      </c>
    </row>
    <row r="37">
      <c r="A37" s="2" t="s">
        <v>38</v>
      </c>
      <c r="B37" s="2">
        <v>256.0</v>
      </c>
    </row>
    <row r="38">
      <c r="A38" s="2" t="s">
        <v>39</v>
      </c>
      <c r="B38" s="2">
        <v>284.0</v>
      </c>
    </row>
    <row r="39">
      <c r="A39" s="10" t="s">
        <v>40</v>
      </c>
      <c r="B39" s="2">
        <v>383.0</v>
      </c>
    </row>
    <row r="40">
      <c r="A40" s="11" t="s">
        <v>41</v>
      </c>
      <c r="B40" s="11">
        <f>SUM(B10:B39)</f>
        <v>3866</v>
      </c>
    </row>
    <row r="42">
      <c r="A42" s="12" t="s">
        <v>42</v>
      </c>
      <c r="B42" s="13"/>
    </row>
    <row r="43" ht="15.75" customHeight="1">
      <c r="A43" s="1" t="s">
        <v>43</v>
      </c>
      <c r="B43" s="1" t="s">
        <v>44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7" t="s">
        <v>45</v>
      </c>
      <c r="B44" s="7">
        <v>6.6</v>
      </c>
    </row>
    <row r="45" ht="15.75" customHeight="1">
      <c r="A45" s="7" t="s">
        <v>46</v>
      </c>
      <c r="B45" s="7">
        <v>10.0</v>
      </c>
    </row>
    <row r="46" ht="15.75" customHeight="1">
      <c r="A46" s="7" t="s">
        <v>47</v>
      </c>
      <c r="B46" s="7">
        <v>12.0</v>
      </c>
    </row>
    <row r="47" ht="15.75" customHeight="1">
      <c r="A47" s="7" t="s">
        <v>48</v>
      </c>
      <c r="B47" s="7">
        <v>16.0</v>
      </c>
    </row>
    <row r="48" ht="15.75" customHeight="1">
      <c r="A48" s="7" t="s">
        <v>49</v>
      </c>
      <c r="B48" s="7">
        <v>25.0</v>
      </c>
    </row>
    <row r="49" ht="15.75" customHeight="1">
      <c r="A49" s="7" t="s">
        <v>50</v>
      </c>
      <c r="B49" s="7">
        <v>39.0</v>
      </c>
    </row>
    <row r="50" ht="15.75" customHeight="1">
      <c r="A50" s="7" t="s">
        <v>51</v>
      </c>
      <c r="B50" s="7">
        <v>49.0</v>
      </c>
    </row>
    <row r="51" ht="15.75" customHeight="1">
      <c r="A51" s="7" t="s">
        <v>52</v>
      </c>
      <c r="B51" s="7">
        <v>60.0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</sheetData>
  <mergeCells count="1">
    <mergeCell ref="A42:B42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2013-03-06T17:23:35Z</dcterms:created>
  <dc:creator>Javier Nogueras</dc:creator>
</cp:coreProperties>
</file>