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encia\vv\teoria\01_ProcesoPruebas\ej4_creacionPlanPruebasMaestro\"/>
    </mc:Choice>
  </mc:AlternateContent>
  <bookViews>
    <workbookView xWindow="240" yWindow="90" windowWidth="24795" windowHeight="11505" activeTab="1"/>
  </bookViews>
  <sheets>
    <sheet name="ratios" sheetId="2" r:id="rId1"/>
    <sheet name="tamaño" sheetId="4" r:id="rId2"/>
    <sheet name="descomposicionEstructuraTrabajo" sheetId="3" r:id="rId3"/>
    <sheet name="proporcionalBasadaEnRiesgos" sheetId="6" r:id="rId4"/>
    <sheet name="estimacionEvaluacion" sheetId="5" r:id="rId5"/>
  </sheets>
  <calcPr calcId="162913"/>
</workbook>
</file>

<file path=xl/calcChain.xml><?xml version="1.0" encoding="utf-8"?>
<calcChain xmlns="http://schemas.openxmlformats.org/spreadsheetml/2006/main">
  <c r="B9" i="6" l="1"/>
  <c r="B7" i="6"/>
  <c r="B15" i="4"/>
  <c r="B18" i="4" s="1"/>
  <c r="B13" i="4"/>
  <c r="B14" i="4"/>
  <c r="B8" i="6" l="1"/>
  <c r="C15" i="2"/>
  <c r="E9" i="6"/>
  <c r="E1" i="6"/>
  <c r="E7" i="3"/>
  <c r="E6" i="3"/>
  <c r="E5" i="3"/>
  <c r="E4" i="3"/>
  <c r="E3" i="3"/>
  <c r="E8" i="3" s="1"/>
  <c r="C4" i="5"/>
  <c r="E8" i="6"/>
  <c r="B17" i="4"/>
  <c r="B7" i="4" s="1"/>
  <c r="C7" i="4" s="1"/>
  <c r="D7" i="4" s="1"/>
  <c r="E7" i="6" l="1"/>
  <c r="B10" i="6"/>
  <c r="E10" i="6" s="1"/>
  <c r="E11" i="6"/>
  <c r="F7" i="6" s="1"/>
  <c r="F8" i="6"/>
  <c r="F9" i="6"/>
  <c r="F10" i="6"/>
  <c r="C6" i="4"/>
  <c r="D6" i="4" s="1"/>
  <c r="C5" i="4"/>
  <c r="D5" i="4"/>
  <c r="D4" i="4"/>
  <c r="F23" i="2"/>
  <c r="G21" i="2"/>
  <c r="G20" i="2"/>
  <c r="G19" i="2"/>
  <c r="G18" i="2"/>
  <c r="G17" i="2"/>
  <c r="G16" i="2"/>
  <c r="G23" i="2" s="1"/>
  <c r="D23" i="2"/>
  <c r="E21" i="2"/>
  <c r="E20" i="2"/>
  <c r="E19" i="2"/>
  <c r="E18" i="2"/>
  <c r="E17" i="2"/>
  <c r="E16" i="2"/>
  <c r="E23" i="2" s="1"/>
  <c r="C21" i="2"/>
  <c r="C20" i="2"/>
  <c r="C19" i="2"/>
  <c r="C18" i="2"/>
  <c r="C17" i="2"/>
  <c r="C16" i="2"/>
  <c r="B23" i="2"/>
  <c r="B1" i="2"/>
  <c r="C7" i="2" s="1"/>
  <c r="B9" i="2"/>
  <c r="F11" i="6" l="1"/>
  <c r="C23" i="2"/>
  <c r="C8" i="2"/>
  <c r="C4" i="2"/>
  <c r="C5" i="2"/>
  <c r="C6" i="2"/>
  <c r="C9" i="2" l="1"/>
</calcChain>
</file>

<file path=xl/sharedStrings.xml><?xml version="1.0" encoding="utf-8"?>
<sst xmlns="http://schemas.openxmlformats.org/spreadsheetml/2006/main" count="105" uniqueCount="78">
  <si>
    <t>Fase Ciclo Vida</t>
  </si>
  <si>
    <t>Porcentaje</t>
  </si>
  <si>
    <t>Planificación</t>
  </si>
  <si>
    <t>Análisis</t>
  </si>
  <si>
    <t>Diseño</t>
  </si>
  <si>
    <t>Implementación</t>
  </si>
  <si>
    <t>Pruebas</t>
  </si>
  <si>
    <t>Horas proyecto</t>
  </si>
  <si>
    <t>Fase pruebas</t>
  </si>
  <si>
    <t>Control</t>
  </si>
  <si>
    <t>Infraestructura</t>
  </si>
  <si>
    <t>Preparación</t>
  </si>
  <si>
    <t>Especificación</t>
  </si>
  <si>
    <t>horas</t>
  </si>
  <si>
    <t>Horas pruebas</t>
  </si>
  <si>
    <t>Ejecución</t>
  </si>
  <si>
    <t>Finalización</t>
  </si>
  <si>
    <t>Pruebas sistema, especificaciones buenas pero complejas</t>
  </si>
  <si>
    <t>Resolución de defectos</t>
  </si>
  <si>
    <t>Pruebas sistema, mala base de pruebas</t>
  </si>
  <si>
    <t>General (20 planificación, 40 preparación, 40 ejecución)</t>
  </si>
  <si>
    <t>Medida</t>
  </si>
  <si>
    <t>Tamaño</t>
  </si>
  <si>
    <t>Nº TOSM</t>
  </si>
  <si>
    <t>Horas</t>
  </si>
  <si>
    <t>LOC</t>
  </si>
  <si>
    <t>Código fuente (KLOC * estilo Objective C)</t>
  </si>
  <si>
    <t>1 KLOC (Kilo Lines of Code)</t>
  </si>
  <si>
    <t>Total</t>
  </si>
  <si>
    <t>MailImplementor, SMSImplementor, SendAbstraction, SendAbstractionImpl, SendImplementor</t>
  </si>
  <si>
    <t>nº TOSM</t>
  </si>
  <si>
    <t>C</t>
  </si>
  <si>
    <t>Algol, Cobol, Fortran</t>
  </si>
  <si>
    <t>PL/1</t>
  </si>
  <si>
    <t>Lisp, basic</t>
  </si>
  <si>
    <t>4GL database</t>
  </si>
  <si>
    <t>Objective C</t>
  </si>
  <si>
    <t>Smalltalk</t>
  </si>
  <si>
    <t>Query languages</t>
  </si>
  <si>
    <t>Documento análisis/diseño (nº páginas)</t>
  </si>
  <si>
    <t>Páginas/hora (1-4)</t>
  </si>
  <si>
    <t>Característica de la calidad</t>
  </si>
  <si>
    <t>Estrategia</t>
  </si>
  <si>
    <t>Facilidad de uso</t>
  </si>
  <si>
    <t>Seguridad</t>
  </si>
  <si>
    <t>Portabilidad</t>
  </si>
  <si>
    <t>*</t>
  </si>
  <si>
    <t>**</t>
  </si>
  <si>
    <t>***</t>
  </si>
  <si>
    <t>Proyecto</t>
  </si>
  <si>
    <t>x</t>
  </si>
  <si>
    <t>Componente</t>
  </si>
  <si>
    <t>Clase de riesgo</t>
  </si>
  <si>
    <t>Factor</t>
  </si>
  <si>
    <t>Tamaño x Factor</t>
  </si>
  <si>
    <t>Nº horas</t>
  </si>
  <si>
    <t>A</t>
  </si>
  <si>
    <t>B</t>
  </si>
  <si>
    <t>BD</t>
  </si>
  <si>
    <t>Clase</t>
  </si>
  <si>
    <t>Horas nivel pruebas</t>
  </si>
  <si>
    <t>Tamaño código "Aplicación Notas"</t>
  </si>
  <si>
    <t>Horas/TOSM (1,5 - 4)</t>
  </si>
  <si>
    <t>Correspondencia KLOC - Lenguaje de programación</t>
  </si>
  <si>
    <t>Algunas cifras según característica de calidad y estrategia basadas en la experiencia</t>
  </si>
  <si>
    <t>Pantallas (nº pantallas; 1 pant=8 TOSM)</t>
  </si>
  <si>
    <t>Modelo de datos ( nº entidades;&lt;10=25TOSM, 10-25=28TOSM, &gt;25=35TOSM)</t>
  </si>
  <si>
    <t>Documento requisitos (nº páginas; 1 pag=15 TOSM)</t>
  </si>
  <si>
    <t>CategoryEdit</t>
  </si>
  <si>
    <t>CategoryPad</t>
  </si>
  <si>
    <t>CategoryDbAdapter</t>
  </si>
  <si>
    <t>DatabaseHelper</t>
  </si>
  <si>
    <t>notas</t>
  </si>
  <si>
    <t>categorías</t>
  </si>
  <si>
    <t>send</t>
  </si>
  <si>
    <t>Notepad</t>
  </si>
  <si>
    <t>NoteEdit</t>
  </si>
  <si>
    <t>NotesDbAdapter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</si>
</sst>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0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/>
    <xf numFmtId="0" fontId="4" fillId="0" borderId="1" xfId="0" applyFont="1" applyFill="1" applyBorder="1" applyAlignment="1">
      <alignment vertical="top" wrapText="1"/>
    </xf>
    <xf numFmtId="0" fontId="0" fillId="0" borderId="0" xfId="0" applyFill="1"/>
    <xf numFmtId="2" fontId="3" fillId="0" borderId="1" xfId="0" applyNumberFormat="1" applyFont="1" applyBorder="1" applyAlignment="1">
      <alignment horizontal="left" vertical="center" wrapText="1" readingOrder="1"/>
    </xf>
    <xf numFmtId="2" fontId="0" fillId="0" borderId="1" xfId="0" applyNumberFormat="1" applyBorder="1"/>
    <xf numFmtId="0" fontId="1" fillId="0" borderId="0" xfId="0" applyFont="1" applyFill="1"/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7" workbookViewId="0">
      <selection activeCell="B24" sqref="B24"/>
    </sheetView>
  </sheetViews>
  <sheetFormatPr baseColWidth="10" defaultRowHeight="15" x14ac:dyDescent="0.25"/>
  <cols>
    <col min="1" max="1" width="22.5703125" customWidth="1"/>
    <col min="2" max="2" width="12.28515625" customWidth="1"/>
    <col min="3" max="3" width="8.85546875" customWidth="1"/>
    <col min="5" max="5" width="9.5703125" customWidth="1"/>
    <col min="7" max="7" width="8.42578125" customWidth="1"/>
  </cols>
  <sheetData>
    <row r="1" spans="1:7" x14ac:dyDescent="0.25">
      <c r="A1" s="11" t="s">
        <v>7</v>
      </c>
      <c r="B1" s="3">
        <f>150*100/40</f>
        <v>375</v>
      </c>
    </row>
    <row r="3" spans="1:7" s="1" customFormat="1" x14ac:dyDescent="0.25">
      <c r="A3" s="11" t="s">
        <v>0</v>
      </c>
      <c r="B3" s="11" t="s">
        <v>1</v>
      </c>
      <c r="C3" s="11" t="s">
        <v>13</v>
      </c>
    </row>
    <row r="4" spans="1:7" x14ac:dyDescent="0.25">
      <c r="A4" s="3" t="s">
        <v>2</v>
      </c>
      <c r="B4" s="3">
        <v>5</v>
      </c>
      <c r="C4" s="3">
        <f t="shared" ref="C4:C7" si="0">$B$1*B4/100</f>
        <v>18.75</v>
      </c>
    </row>
    <row r="5" spans="1:7" x14ac:dyDescent="0.25">
      <c r="A5" s="3" t="s">
        <v>3</v>
      </c>
      <c r="B5" s="3">
        <v>15</v>
      </c>
      <c r="C5" s="3">
        <f t="shared" si="0"/>
        <v>56.25</v>
      </c>
    </row>
    <row r="6" spans="1:7" x14ac:dyDescent="0.25">
      <c r="A6" s="3" t="s">
        <v>4</v>
      </c>
      <c r="B6" s="3">
        <v>20</v>
      </c>
      <c r="C6" s="3">
        <f t="shared" si="0"/>
        <v>75</v>
      </c>
    </row>
    <row r="7" spans="1:7" x14ac:dyDescent="0.25">
      <c r="A7" s="3" t="s">
        <v>5</v>
      </c>
      <c r="B7" s="3">
        <v>20</v>
      </c>
      <c r="C7" s="3">
        <f t="shared" si="0"/>
        <v>75</v>
      </c>
    </row>
    <row r="8" spans="1:7" x14ac:dyDescent="0.25">
      <c r="A8" s="3" t="s">
        <v>6</v>
      </c>
      <c r="B8" s="3">
        <v>40</v>
      </c>
      <c r="C8" s="3">
        <f>$B$1*B8/100</f>
        <v>150</v>
      </c>
    </row>
    <row r="9" spans="1:7" x14ac:dyDescent="0.25">
      <c r="A9" s="3"/>
      <c r="B9" s="2">
        <f>SUM(B4:B8)</f>
        <v>100</v>
      </c>
      <c r="C9" s="2">
        <f>SUM(C4:C8)</f>
        <v>375</v>
      </c>
    </row>
    <row r="11" spans="1:7" x14ac:dyDescent="0.25">
      <c r="A11" s="9" t="s">
        <v>14</v>
      </c>
      <c r="B11" s="4">
        <v>150</v>
      </c>
    </row>
    <row r="13" spans="1:7" s="1" customFormat="1" ht="58.5" customHeight="1" x14ac:dyDescent="0.25">
      <c r="A13" s="2"/>
      <c r="B13" s="18" t="s">
        <v>20</v>
      </c>
      <c r="C13" s="19"/>
      <c r="D13" s="17" t="s">
        <v>17</v>
      </c>
      <c r="E13" s="17"/>
      <c r="F13" s="17" t="s">
        <v>19</v>
      </c>
      <c r="G13" s="17"/>
    </row>
    <row r="14" spans="1:7" s="1" customFormat="1" x14ac:dyDescent="0.25">
      <c r="A14" s="11" t="s">
        <v>8</v>
      </c>
      <c r="B14" s="11" t="s">
        <v>1</v>
      </c>
      <c r="C14" s="11" t="s">
        <v>13</v>
      </c>
      <c r="D14" s="11" t="s">
        <v>1</v>
      </c>
      <c r="E14" s="11" t="s">
        <v>13</v>
      </c>
      <c r="F14" s="11" t="s">
        <v>1</v>
      </c>
      <c r="G14" s="11" t="s">
        <v>13</v>
      </c>
    </row>
    <row r="15" spans="1:7" x14ac:dyDescent="0.25">
      <c r="A15" s="3" t="s">
        <v>2</v>
      </c>
      <c r="B15" s="3">
        <v>10</v>
      </c>
      <c r="C15" s="3">
        <f>$B$11*B15/100</f>
        <v>15</v>
      </c>
      <c r="D15" s="3"/>
      <c r="E15" s="3"/>
      <c r="F15" s="3"/>
      <c r="G15" s="3"/>
    </row>
    <row r="16" spans="1:7" x14ac:dyDescent="0.25">
      <c r="A16" s="3" t="s">
        <v>9</v>
      </c>
      <c r="B16" s="3">
        <v>10</v>
      </c>
      <c r="C16" s="3">
        <f>$B$11*B16/100</f>
        <v>15</v>
      </c>
      <c r="D16" s="3">
        <v>10</v>
      </c>
      <c r="E16" s="3">
        <f>$B$11*D16/100</f>
        <v>15</v>
      </c>
      <c r="F16" s="3">
        <v>10</v>
      </c>
      <c r="G16" s="3">
        <f>$B$11*F16/100</f>
        <v>15</v>
      </c>
    </row>
    <row r="17" spans="1:7" x14ac:dyDescent="0.25">
      <c r="A17" s="3" t="s">
        <v>10</v>
      </c>
      <c r="B17" s="3">
        <v>10</v>
      </c>
      <c r="C17" s="3">
        <f t="shared" ref="C17:E21" si="1">$B$11*B17/100</f>
        <v>15</v>
      </c>
      <c r="D17" s="3">
        <v>7</v>
      </c>
      <c r="E17" s="3">
        <f t="shared" si="1"/>
        <v>10.5</v>
      </c>
      <c r="F17" s="3">
        <v>7</v>
      </c>
      <c r="G17" s="3">
        <f t="shared" ref="G17" si="2">$B$11*F17/100</f>
        <v>10.5</v>
      </c>
    </row>
    <row r="18" spans="1:7" x14ac:dyDescent="0.25">
      <c r="A18" s="3" t="s">
        <v>11</v>
      </c>
      <c r="B18" s="3">
        <v>10</v>
      </c>
      <c r="C18" s="3">
        <f t="shared" si="1"/>
        <v>15</v>
      </c>
      <c r="D18" s="3">
        <v>6</v>
      </c>
      <c r="E18" s="3">
        <f t="shared" si="1"/>
        <v>9</v>
      </c>
      <c r="F18" s="3">
        <v>21</v>
      </c>
      <c r="G18" s="3">
        <f t="shared" ref="G18" si="3">$B$11*F18/100</f>
        <v>31.5</v>
      </c>
    </row>
    <row r="19" spans="1:7" x14ac:dyDescent="0.25">
      <c r="A19" s="3" t="s">
        <v>12</v>
      </c>
      <c r="B19" s="3">
        <v>20</v>
      </c>
      <c r="C19" s="3">
        <f t="shared" si="1"/>
        <v>30</v>
      </c>
      <c r="D19" s="3">
        <v>54</v>
      </c>
      <c r="E19" s="3">
        <f t="shared" si="1"/>
        <v>81</v>
      </c>
      <c r="F19" s="3">
        <v>33</v>
      </c>
      <c r="G19" s="3">
        <f t="shared" ref="G19" si="4">$B$11*F19/100</f>
        <v>49.5</v>
      </c>
    </row>
    <row r="20" spans="1:7" x14ac:dyDescent="0.25">
      <c r="A20" s="3" t="s">
        <v>15</v>
      </c>
      <c r="B20" s="3">
        <v>35</v>
      </c>
      <c r="C20" s="3">
        <f t="shared" si="1"/>
        <v>52.5</v>
      </c>
      <c r="D20" s="3">
        <v>21</v>
      </c>
      <c r="E20" s="3">
        <f t="shared" si="1"/>
        <v>31.5</v>
      </c>
      <c r="F20" s="3">
        <v>24</v>
      </c>
      <c r="G20" s="3">
        <f t="shared" ref="G20" si="5">$B$11*F20/100</f>
        <v>36</v>
      </c>
    </row>
    <row r="21" spans="1:7" x14ac:dyDescent="0.25">
      <c r="A21" s="3" t="s">
        <v>16</v>
      </c>
      <c r="B21" s="3">
        <v>5</v>
      </c>
      <c r="C21" s="3">
        <f t="shared" si="1"/>
        <v>7.5</v>
      </c>
      <c r="D21" s="3">
        <v>2</v>
      </c>
      <c r="E21" s="3">
        <f t="shared" si="1"/>
        <v>3</v>
      </c>
      <c r="F21" s="3">
        <v>5</v>
      </c>
      <c r="G21" s="3">
        <f t="shared" ref="G21" si="6">$B$11*F21/100</f>
        <v>7.5</v>
      </c>
    </row>
    <row r="22" spans="1:7" x14ac:dyDescent="0.25">
      <c r="A22" s="3" t="s">
        <v>18</v>
      </c>
      <c r="B22" s="3"/>
      <c r="C22" s="3"/>
      <c r="D22" s="3"/>
      <c r="E22" s="3"/>
      <c r="F22" s="3"/>
      <c r="G22" s="3"/>
    </row>
    <row r="23" spans="1:7" s="1" customFormat="1" x14ac:dyDescent="0.25">
      <c r="A23" s="2"/>
      <c r="B23" s="2">
        <f t="shared" ref="B23:G23" si="7">SUM(B15:B21)</f>
        <v>100</v>
      </c>
      <c r="C23" s="2">
        <f t="shared" si="7"/>
        <v>150</v>
      </c>
      <c r="D23" s="2">
        <f t="shared" si="7"/>
        <v>100</v>
      </c>
      <c r="E23" s="2">
        <f t="shared" si="7"/>
        <v>150</v>
      </c>
      <c r="F23" s="2">
        <f t="shared" si="7"/>
        <v>100</v>
      </c>
      <c r="G23" s="2">
        <f t="shared" si="7"/>
        <v>150</v>
      </c>
    </row>
  </sheetData>
  <mergeCells count="3">
    <mergeCell ref="D13:E13"/>
    <mergeCell ref="F13:G13"/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A13" sqref="A13"/>
    </sheetView>
  </sheetViews>
  <sheetFormatPr baseColWidth="10" defaultRowHeight="15" x14ac:dyDescent="0.25"/>
  <cols>
    <col min="1" max="1" width="45.85546875" customWidth="1"/>
    <col min="2" max="3" width="12.28515625" customWidth="1"/>
    <col min="4" max="4" width="8.85546875" customWidth="1"/>
    <col min="6" max="6" width="9.5703125" customWidth="1"/>
    <col min="8" max="8" width="8.42578125" customWidth="1"/>
  </cols>
  <sheetData>
    <row r="1" spans="1:4" x14ac:dyDescent="0.25">
      <c r="A1" s="11" t="s">
        <v>62</v>
      </c>
      <c r="B1" s="3">
        <v>4</v>
      </c>
      <c r="C1" s="5"/>
    </row>
    <row r="3" spans="1:4" s="1" customFormat="1" x14ac:dyDescent="0.25">
      <c r="A3" s="11" t="s">
        <v>21</v>
      </c>
      <c r="B3" s="11" t="s">
        <v>22</v>
      </c>
      <c r="C3" s="11" t="s">
        <v>23</v>
      </c>
      <c r="D3" s="11" t="s">
        <v>24</v>
      </c>
    </row>
    <row r="4" spans="1:4" ht="30" x14ac:dyDescent="0.25">
      <c r="A4" s="6" t="s">
        <v>66</v>
      </c>
      <c r="B4">
        <v>2</v>
      </c>
      <c r="C4" s="3">
        <v>25</v>
      </c>
      <c r="D4" s="3">
        <f>$B$1*C4</f>
        <v>100</v>
      </c>
    </row>
    <row r="5" spans="1:4" x14ac:dyDescent="0.25">
      <c r="A5" s="3" t="s">
        <v>67</v>
      </c>
      <c r="B5" s="3">
        <v>2</v>
      </c>
      <c r="C5" s="3">
        <f>B5*15</f>
        <v>30</v>
      </c>
      <c r="D5" s="3">
        <f>$B$1*C5</f>
        <v>120</v>
      </c>
    </row>
    <row r="6" spans="1:4" x14ac:dyDescent="0.25">
      <c r="A6" s="3" t="s">
        <v>65</v>
      </c>
      <c r="B6" s="3">
        <v>4</v>
      </c>
      <c r="C6" s="3">
        <f>4*8</f>
        <v>32</v>
      </c>
      <c r="D6" s="3">
        <f>$B$1*C6</f>
        <v>128</v>
      </c>
    </row>
    <row r="7" spans="1:4" x14ac:dyDescent="0.25">
      <c r="A7" s="3" t="s">
        <v>26</v>
      </c>
      <c r="B7" s="15">
        <f>B18/1000</f>
        <v>0.93300000000000005</v>
      </c>
      <c r="C7" s="15">
        <f>B7*39</f>
        <v>36.387</v>
      </c>
      <c r="D7" s="15">
        <f>$B$1*C7</f>
        <v>145.548</v>
      </c>
    </row>
    <row r="9" spans="1:4" s="1" customFormat="1" x14ac:dyDescent="0.25">
      <c r="A9" s="11" t="s">
        <v>61</v>
      </c>
      <c r="B9" s="11" t="s">
        <v>25</v>
      </c>
    </row>
    <row r="10" spans="1:4" x14ac:dyDescent="0.25">
      <c r="A10" s="3" t="s">
        <v>75</v>
      </c>
      <c r="B10" s="3">
        <v>124</v>
      </c>
    </row>
    <row r="11" spans="1:4" x14ac:dyDescent="0.25">
      <c r="A11" s="3" t="s">
        <v>76</v>
      </c>
      <c r="B11" s="3">
        <v>98</v>
      </c>
    </row>
    <row r="12" spans="1:4" x14ac:dyDescent="0.25">
      <c r="A12" s="3" t="s">
        <v>77</v>
      </c>
      <c r="B12" s="3">
        <v>141</v>
      </c>
    </row>
    <row r="13" spans="1:4" x14ac:dyDescent="0.25">
      <c r="A13" s="3" t="s">
        <v>69</v>
      </c>
      <c r="B13" s="3">
        <f>B10</f>
        <v>124</v>
      </c>
    </row>
    <row r="14" spans="1:4" x14ac:dyDescent="0.25">
      <c r="A14" s="3" t="s">
        <v>68</v>
      </c>
      <c r="B14" s="3">
        <f>B11</f>
        <v>98</v>
      </c>
    </row>
    <row r="15" spans="1:4" x14ac:dyDescent="0.25">
      <c r="A15" s="3" t="s">
        <v>70</v>
      </c>
      <c r="B15" s="3">
        <f>B12</f>
        <v>141</v>
      </c>
    </row>
    <row r="16" spans="1:4" x14ac:dyDescent="0.25">
      <c r="A16" s="3" t="s">
        <v>71</v>
      </c>
      <c r="B16" s="3">
        <v>50</v>
      </c>
    </row>
    <row r="17" spans="1:2" ht="45" x14ac:dyDescent="0.25">
      <c r="A17" s="6" t="s">
        <v>29</v>
      </c>
      <c r="B17" s="3">
        <f>46+11+31+21+48</f>
        <v>157</v>
      </c>
    </row>
    <row r="18" spans="1:2" x14ac:dyDescent="0.25">
      <c r="A18" s="2" t="s">
        <v>28</v>
      </c>
      <c r="B18" s="2">
        <f>SUM(B10:B17)</f>
        <v>933</v>
      </c>
    </row>
    <row r="20" spans="1:2" x14ac:dyDescent="0.25">
      <c r="A20" s="20" t="s">
        <v>63</v>
      </c>
      <c r="B20" s="20"/>
    </row>
    <row r="21" spans="1:2" s="1" customFormat="1" x14ac:dyDescent="0.25">
      <c r="A21" s="11" t="s">
        <v>27</v>
      </c>
      <c r="B21" s="11" t="s">
        <v>30</v>
      </c>
    </row>
    <row r="22" spans="1:2" x14ac:dyDescent="0.25">
      <c r="A22" s="3" t="s">
        <v>31</v>
      </c>
      <c r="B22" s="3">
        <v>6.6</v>
      </c>
    </row>
    <row r="23" spans="1:2" x14ac:dyDescent="0.25">
      <c r="A23" s="3" t="s">
        <v>32</v>
      </c>
      <c r="B23" s="3">
        <v>10</v>
      </c>
    </row>
    <row r="24" spans="1:2" x14ac:dyDescent="0.25">
      <c r="A24" s="3" t="s">
        <v>33</v>
      </c>
      <c r="B24" s="3">
        <v>12</v>
      </c>
    </row>
    <row r="25" spans="1:2" x14ac:dyDescent="0.25">
      <c r="A25" s="3" t="s">
        <v>34</v>
      </c>
      <c r="B25" s="3">
        <v>16</v>
      </c>
    </row>
    <row r="26" spans="1:2" x14ac:dyDescent="0.25">
      <c r="A26" s="3" t="s">
        <v>35</v>
      </c>
      <c r="B26" s="3">
        <v>25</v>
      </c>
    </row>
    <row r="27" spans="1:2" x14ac:dyDescent="0.25">
      <c r="A27" s="3" t="s">
        <v>36</v>
      </c>
      <c r="B27" s="3">
        <v>39</v>
      </c>
    </row>
    <row r="28" spans="1:2" x14ac:dyDescent="0.25">
      <c r="A28" s="3" t="s">
        <v>37</v>
      </c>
      <c r="B28" s="3">
        <v>49</v>
      </c>
    </row>
    <row r="29" spans="1:2" x14ac:dyDescent="0.25">
      <c r="A29" s="3" t="s">
        <v>38</v>
      </c>
      <c r="B29" s="3">
        <v>60</v>
      </c>
    </row>
  </sheetData>
  <mergeCells count="1">
    <mergeCell ref="A20:B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15" sqref="A15"/>
    </sheetView>
  </sheetViews>
  <sheetFormatPr baseColWidth="10" defaultRowHeight="15" x14ac:dyDescent="0.25"/>
  <cols>
    <col min="1" max="1" width="28.42578125" customWidth="1"/>
    <col min="2" max="2" width="16.42578125" customWidth="1"/>
    <col min="5" max="5" width="17.5703125" customWidth="1"/>
  </cols>
  <sheetData>
    <row r="1" spans="1:5" x14ac:dyDescent="0.25">
      <c r="A1" s="21" t="s">
        <v>64</v>
      </c>
      <c r="B1" s="21"/>
      <c r="C1" s="21"/>
      <c r="D1" s="21"/>
      <c r="E1" s="21"/>
    </row>
    <row r="2" spans="1:5" s="16" customFormat="1" ht="20.25" customHeight="1" x14ac:dyDescent="0.25">
      <c r="A2" s="9" t="s">
        <v>41</v>
      </c>
      <c r="B2" s="9" t="s">
        <v>42</v>
      </c>
      <c r="C2" s="9" t="s">
        <v>24</v>
      </c>
      <c r="D2" s="9" t="s">
        <v>49</v>
      </c>
      <c r="E2" s="9" t="s">
        <v>7</v>
      </c>
    </row>
    <row r="3" spans="1:5" x14ac:dyDescent="0.25">
      <c r="A3" s="3" t="s">
        <v>43</v>
      </c>
      <c r="B3" s="3" t="s">
        <v>46</v>
      </c>
      <c r="C3" s="3">
        <v>70</v>
      </c>
      <c r="D3" s="3" t="s">
        <v>50</v>
      </c>
      <c r="E3" s="3">
        <f>IF(D3="x",C3,"")</f>
        <v>70</v>
      </c>
    </row>
    <row r="4" spans="1:5" x14ac:dyDescent="0.25">
      <c r="A4" s="3" t="s">
        <v>43</v>
      </c>
      <c r="B4" s="3" t="s">
        <v>47</v>
      </c>
      <c r="C4" s="3">
        <v>80</v>
      </c>
      <c r="D4" s="3"/>
      <c r="E4" s="3" t="str">
        <f>IF(D4="x",C4,"")</f>
        <v/>
      </c>
    </row>
    <row r="5" spans="1:5" x14ac:dyDescent="0.25">
      <c r="A5" s="3" t="s">
        <v>43</v>
      </c>
      <c r="B5" s="3" t="s">
        <v>48</v>
      </c>
      <c r="C5" s="3">
        <v>130</v>
      </c>
      <c r="D5" s="3"/>
      <c r="E5" s="3" t="str">
        <f>IF(D5="x",C5,"")</f>
        <v/>
      </c>
    </row>
    <row r="6" spans="1:5" ht="14.25" customHeight="1" x14ac:dyDescent="0.25">
      <c r="A6" s="3" t="s">
        <v>44</v>
      </c>
      <c r="B6" s="3" t="s">
        <v>48</v>
      </c>
      <c r="C6" s="3">
        <v>80</v>
      </c>
      <c r="D6" s="3" t="s">
        <v>50</v>
      </c>
      <c r="E6" s="3">
        <f>IF(D6="x",C6,"")</f>
        <v>80</v>
      </c>
    </row>
    <row r="7" spans="1:5" x14ac:dyDescent="0.25">
      <c r="A7" s="3" t="s">
        <v>45</v>
      </c>
      <c r="B7" s="3" t="s">
        <v>46</v>
      </c>
      <c r="C7" s="3">
        <v>28</v>
      </c>
      <c r="D7" s="3" t="s">
        <v>50</v>
      </c>
      <c r="E7" s="3">
        <f>IF(D7="x",C7,"")</f>
        <v>28</v>
      </c>
    </row>
    <row r="8" spans="1:5" s="1" customFormat="1" x14ac:dyDescent="0.25">
      <c r="A8" s="2" t="s">
        <v>28</v>
      </c>
      <c r="B8" s="2"/>
      <c r="C8" s="2"/>
      <c r="D8" s="2"/>
      <c r="E8" s="2">
        <f>SUM(E3:E7)</f>
        <v>178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11" sqref="A11"/>
    </sheetView>
  </sheetViews>
  <sheetFormatPr baseColWidth="10" defaultRowHeight="15" x14ac:dyDescent="0.25"/>
  <cols>
    <col min="1" max="1" width="16.140625" customWidth="1"/>
    <col min="4" max="4" width="18.42578125" customWidth="1"/>
  </cols>
  <sheetData>
    <row r="1" spans="1:6" x14ac:dyDescent="0.25">
      <c r="A1" s="10" t="s">
        <v>59</v>
      </c>
      <c r="B1" s="11" t="s">
        <v>53</v>
      </c>
      <c r="D1" s="11" t="s">
        <v>60</v>
      </c>
      <c r="E1" s="3">
        <f>150*0.5</f>
        <v>75</v>
      </c>
    </row>
    <row r="2" spans="1:6" x14ac:dyDescent="0.25">
      <c r="A2" s="6" t="s">
        <v>56</v>
      </c>
      <c r="B2" s="3">
        <v>1.5</v>
      </c>
    </row>
    <row r="3" spans="1:6" x14ac:dyDescent="0.25">
      <c r="A3" s="3" t="s">
        <v>57</v>
      </c>
      <c r="B3" s="3">
        <v>1</v>
      </c>
    </row>
    <row r="4" spans="1:6" x14ac:dyDescent="0.25">
      <c r="A4" s="3" t="s">
        <v>31</v>
      </c>
      <c r="B4" s="3">
        <v>0.6</v>
      </c>
    </row>
    <row r="5" spans="1:6" x14ac:dyDescent="0.25">
      <c r="A5" s="3"/>
      <c r="B5" s="3"/>
    </row>
    <row r="6" spans="1:6" ht="25.5" x14ac:dyDescent="0.25">
      <c r="A6" s="10" t="s">
        <v>51</v>
      </c>
      <c r="B6" s="10" t="s">
        <v>22</v>
      </c>
      <c r="C6" s="10" t="s">
        <v>52</v>
      </c>
      <c r="D6" s="10" t="s">
        <v>53</v>
      </c>
      <c r="E6" s="10" t="s">
        <v>54</v>
      </c>
      <c r="F6" s="10" t="s">
        <v>55</v>
      </c>
    </row>
    <row r="7" spans="1:6" x14ac:dyDescent="0.25">
      <c r="A7" s="7" t="s">
        <v>72</v>
      </c>
      <c r="B7" s="7">
        <f>SUM(tamaño!B10:B12)</f>
        <v>363</v>
      </c>
      <c r="C7" s="7" t="s">
        <v>56</v>
      </c>
      <c r="D7" s="7">
        <v>1.5</v>
      </c>
      <c r="E7" s="7">
        <f>B7*D7</f>
        <v>544.5</v>
      </c>
      <c r="F7" s="14">
        <f>E7*$E$1/$E$11</f>
        <v>37.928392309835608</v>
      </c>
    </row>
    <row r="8" spans="1:6" x14ac:dyDescent="0.25">
      <c r="A8" s="7" t="s">
        <v>73</v>
      </c>
      <c r="B8" s="7">
        <f>SUM(tamaño!B13:B15)</f>
        <v>363</v>
      </c>
      <c r="C8" s="7" t="s">
        <v>57</v>
      </c>
      <c r="D8" s="7">
        <v>1</v>
      </c>
      <c r="E8" s="7">
        <f t="shared" ref="E8:E10" si="0">B8*D8</f>
        <v>363</v>
      </c>
      <c r="F8" s="14">
        <f t="shared" ref="F8:F10" si="1">E8*$E$1/$E$11</f>
        <v>25.285594873223737</v>
      </c>
    </row>
    <row r="9" spans="1:6" x14ac:dyDescent="0.25">
      <c r="A9" s="7" t="s">
        <v>58</v>
      </c>
      <c r="B9" s="7">
        <f>tamaño!B16</f>
        <v>50</v>
      </c>
      <c r="C9" s="7" t="s">
        <v>56</v>
      </c>
      <c r="D9" s="7">
        <v>1.5</v>
      </c>
      <c r="E9" s="7">
        <f t="shared" si="0"/>
        <v>75</v>
      </c>
      <c r="F9" s="14">
        <f t="shared" si="1"/>
        <v>5.224296461409863</v>
      </c>
    </row>
    <row r="10" spans="1:6" x14ac:dyDescent="0.25">
      <c r="A10" s="7" t="s">
        <v>74</v>
      </c>
      <c r="B10" s="7">
        <f>tamaño!B17</f>
        <v>157</v>
      </c>
      <c r="C10" s="7" t="s">
        <v>31</v>
      </c>
      <c r="D10" s="7">
        <v>0.6</v>
      </c>
      <c r="E10" s="7">
        <f t="shared" si="0"/>
        <v>94.2</v>
      </c>
      <c r="F10" s="14">
        <f t="shared" si="1"/>
        <v>6.5617163555307885</v>
      </c>
    </row>
    <row r="11" spans="1:6" s="13" customFormat="1" x14ac:dyDescent="0.25">
      <c r="A11" s="8" t="s">
        <v>28</v>
      </c>
      <c r="B11" s="12"/>
      <c r="C11" s="12"/>
      <c r="D11" s="12"/>
      <c r="E11" s="8">
        <f>SUM(E7:E10)</f>
        <v>1076.7</v>
      </c>
      <c r="F11" s="8">
        <f>SUM(F7:F10)</f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5" sqref="B5"/>
    </sheetView>
  </sheetViews>
  <sheetFormatPr baseColWidth="10" defaultRowHeight="15" x14ac:dyDescent="0.25"/>
  <cols>
    <col min="1" max="1" width="39.7109375" customWidth="1"/>
    <col min="2" max="2" width="12.28515625" customWidth="1"/>
    <col min="3" max="3" width="8.85546875" customWidth="1"/>
    <col min="5" max="5" width="9.5703125" customWidth="1"/>
    <col min="7" max="7" width="8.42578125" customWidth="1"/>
  </cols>
  <sheetData>
    <row r="1" spans="1:3" x14ac:dyDescent="0.25">
      <c r="A1" s="11" t="s">
        <v>40</v>
      </c>
      <c r="B1" s="3">
        <v>2</v>
      </c>
    </row>
    <row r="3" spans="1:3" s="1" customFormat="1" x14ac:dyDescent="0.25">
      <c r="A3" s="11" t="s">
        <v>21</v>
      </c>
      <c r="B3" s="11" t="s">
        <v>22</v>
      </c>
      <c r="C3" s="11" t="s">
        <v>24</v>
      </c>
    </row>
    <row r="4" spans="1:3" x14ac:dyDescent="0.25">
      <c r="A4" s="3" t="s">
        <v>39</v>
      </c>
      <c r="B4" s="15">
        <v>25</v>
      </c>
      <c r="C4" s="15">
        <f>B4/B1</f>
        <v>12.5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ratios</vt:lpstr>
      <vt:lpstr>tamaño</vt:lpstr>
      <vt:lpstr>descomposicionEstructuraTrabajo</vt:lpstr>
      <vt:lpstr>proporcionalBasadaEnRiesgos</vt:lpstr>
      <vt:lpstr>estimacionEvaluacion</vt:lpstr>
    </vt:vector>
  </TitlesOfParts>
  <Company>UZ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Nogueras</dc:creator>
  <cp:lastModifiedBy>jnog</cp:lastModifiedBy>
  <cp:lastPrinted>2013-03-07T10:17:45Z</cp:lastPrinted>
  <dcterms:created xsi:type="dcterms:W3CDTF">2013-03-06T17:23:35Z</dcterms:created>
  <dcterms:modified xsi:type="dcterms:W3CDTF">2023-02-08T18:09:17Z</dcterms:modified>
</cp:coreProperties>
</file>