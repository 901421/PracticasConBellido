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tios" sheetId="1" r:id="rId4"/>
    <sheet state="visible" name="tamaño" sheetId="2" r:id="rId5"/>
    <sheet state="visible" name="descomposicionEstructuraTrabajo" sheetId="3" r:id="rId6"/>
    <sheet state="visible" name="proporcionalBasadaEnRiesgos" sheetId="4" r:id="rId7"/>
    <sheet state="visible" name="estimacionEvaluacion" sheetId="5" r:id="rId8"/>
  </sheets>
  <definedNames/>
  <calcPr/>
  <extLst>
    <ext uri="GoogleSheetsCustomDataVersion2">
      <go:sheetsCustomData xmlns:go="http://customooxmlschemas.google.com/" r:id="rId9" roundtripDataChecksum="pkP+j7EJj8EwvqSjO9tZpzD9zPt1yzid2FeaKX2oeqo="/>
    </ext>
  </extLst>
</workbook>
</file>

<file path=xl/sharedStrings.xml><?xml version="1.0" encoding="utf-8"?>
<sst xmlns="http://schemas.openxmlformats.org/spreadsheetml/2006/main" count="105" uniqueCount="78">
  <si>
    <t>Horas proyecto</t>
  </si>
  <si>
    <t>Fase Ciclo Vida</t>
  </si>
  <si>
    <t>Porcentaje</t>
  </si>
  <si>
    <t>horas</t>
  </si>
  <si>
    <t>Planificación</t>
  </si>
  <si>
    <t>Análisis</t>
  </si>
  <si>
    <t>Diseño</t>
  </si>
  <si>
    <t>Implementación</t>
  </si>
  <si>
    <t>Pruebas</t>
  </si>
  <si>
    <t>Horas pruebas</t>
  </si>
  <si>
    <t>General (20 planificación, 40 preparación, 40 ejecución)</t>
  </si>
  <si>
    <t>Pruebas sistema, especificaciones buenas pero complejas</t>
  </si>
  <si>
    <t>Pruebas sistema, mala base de pruebas</t>
  </si>
  <si>
    <t>Fase pruebas</t>
  </si>
  <si>
    <t>Control</t>
  </si>
  <si>
    <t>Infraestructura</t>
  </si>
  <si>
    <t>Preparación</t>
  </si>
  <si>
    <t>Especificación</t>
  </si>
  <si>
    <t>Ejecución</t>
  </si>
  <si>
    <t>Finalización</t>
  </si>
  <si>
    <t>Resolución de defectos</t>
  </si>
  <si>
    <t>Horas/TOSM (1,5 - 4)</t>
  </si>
  <si>
    <t>Medida</t>
  </si>
  <si>
    <t>Tamaño</t>
  </si>
  <si>
    <t>Nº TOSM</t>
  </si>
  <si>
    <t>Horas</t>
  </si>
  <si>
    <t>Modelo de datos ( nº entidades;&lt;10=25TOSM, 10-25=28TOSM, &gt;25=35TOSM)</t>
  </si>
  <si>
    <t>Documento requisitos (nº páginas; 1 pag=15 TOSM)</t>
  </si>
  <si>
    <t>Pantallas (nº pantallas; 1 pant=8 TOSM)</t>
  </si>
  <si>
    <t>Código fuente (KLOC * estilo Objective C)</t>
  </si>
  <si>
    <t>Tamaño código "Aplicación Notas"</t>
  </si>
  <si>
    <t>LOC</t>
  </si>
  <si>
    <t>Notepad</t>
  </si>
  <si>
    <t>NoteEdit</t>
  </si>
  <si>
    <t>NotesDbAdapter</t>
  </si>
  <si>
    <t>CategoryPad</t>
  </si>
  <si>
    <t>CategoryEdit</t>
  </si>
  <si>
    <t>CategoryDbAdapter</t>
  </si>
  <si>
    <t>DatabaseHelper</t>
  </si>
  <si>
    <t>MailImplementor, SMSImplementor, SendAbstraction, SendAbstractionImpl, SendImplementor</t>
  </si>
  <si>
    <t>Total</t>
  </si>
  <si>
    <t>Correspondencia KLOC - Lenguaje de programación</t>
  </si>
  <si>
    <t>1 KLOC (Kilo Lines of Code)</t>
  </si>
  <si>
    <t>nº TOSM</t>
  </si>
  <si>
    <t>C</t>
  </si>
  <si>
    <t>Algol, Cobol, Fortran</t>
  </si>
  <si>
    <t>PL/1</t>
  </si>
  <si>
    <t>Lisp, basic</t>
  </si>
  <si>
    <t>4GL database</t>
  </si>
  <si>
    <t>Objective C</t>
  </si>
  <si>
    <t>Smalltalk</t>
  </si>
  <si>
    <t>Query languages</t>
  </si>
  <si>
    <t>Algunas cifras según característica de calidad y estrategia basadas en la experiencia</t>
  </si>
  <si>
    <t>Característica de la calidad</t>
  </si>
  <si>
    <t>Estrategia</t>
  </si>
  <si>
    <t>Proyecto</t>
  </si>
  <si>
    <t>Facilidad de uso</t>
  </si>
  <si>
    <t>*</t>
  </si>
  <si>
    <t>x</t>
  </si>
  <si>
    <t>**</t>
  </si>
  <si>
    <t>***</t>
  </si>
  <si>
    <t>Seguridad</t>
  </si>
  <si>
    <t>Portabilidad</t>
  </si>
  <si>
    <t>Clase</t>
  </si>
  <si>
    <t>Factor</t>
  </si>
  <si>
    <t>Horas nivel pruebas</t>
  </si>
  <si>
    <t>A</t>
  </si>
  <si>
    <t>B</t>
  </si>
  <si>
    <t>Componente</t>
  </si>
  <si>
    <t>Clase de riesgo</t>
  </si>
  <si>
    <t>Tamaño x Factor</t>
  </si>
  <si>
    <t>Nº horas</t>
  </si>
  <si>
    <t>notas</t>
  </si>
  <si>
    <t>categorías</t>
  </si>
  <si>
    <t>BD</t>
  </si>
  <si>
    <t>send</t>
  </si>
  <si>
    <t>Páginas/hora (1-4)</t>
  </si>
  <si>
    <t>Documento análisis/diseño (nº páginas)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</si>
</sst>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  <font>
      <b/>
      <sz val="10.0"/>
      <color rgb="FF000000"/>
      <name val="Tahoma"/>
    </font>
    <font>
      <sz val="10.0"/>
      <color rgb="FF000000"/>
      <name val="Tahoma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FABF8F"/>
        <bgColor rgb="FFFABF8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0" fillId="0" fontId="1" numFmtId="0" xfId="0" applyFont="1"/>
    <xf borderId="1" fillId="0" fontId="1" numFmtId="0" xfId="0" applyBorder="1" applyFont="1"/>
    <xf borderId="1" fillId="3" fontId="1" numFmtId="0" xfId="0" applyBorder="1" applyFill="1" applyFont="1"/>
    <xf borderId="1" fillId="0" fontId="2" numFmtId="0" xfId="0" applyAlignment="1" applyBorder="1" applyFont="1">
      <alignment readingOrder="0"/>
    </xf>
    <xf borderId="2" fillId="2" fontId="1" numFmtId="0" xfId="0" applyAlignment="1" applyBorder="1" applyFont="1">
      <alignment horizontal="left" shrinkToFit="0" wrapText="1"/>
    </xf>
    <xf borderId="3" fillId="0" fontId="3" numFmtId="0" xfId="0" applyBorder="1" applyFont="1"/>
    <xf borderId="0" fillId="0" fontId="2" numFmtId="0" xfId="0" applyFont="1"/>
    <xf borderId="1" fillId="0" fontId="2" numFmtId="0" xfId="0" applyAlignment="1" applyBorder="1" applyFont="1">
      <alignment shrinkToFit="0" wrapText="1"/>
    </xf>
    <xf borderId="0" fillId="0" fontId="4" numFmtId="0" xfId="0" applyFont="1"/>
    <xf borderId="1" fillId="0" fontId="2" numFmtId="2" xfId="0" applyBorder="1" applyFont="1" applyNumberFormat="1"/>
    <xf borderId="2" fillId="2" fontId="1" numFmtId="0" xfId="0" applyAlignment="1" applyBorder="1" applyFont="1">
      <alignment horizontal="center"/>
    </xf>
    <xf borderId="2" fillId="3" fontId="1" numFmtId="0" xfId="0" applyAlignment="1" applyBorder="1" applyFont="1">
      <alignment horizontal="left"/>
    </xf>
    <xf borderId="4" fillId="0" fontId="3" numFmtId="0" xfId="0" applyBorder="1" applyFont="1"/>
    <xf borderId="1" fillId="2" fontId="5" numFmtId="0" xfId="0" applyAlignment="1" applyBorder="1" applyFont="1">
      <alignment horizontal="left" readingOrder="1" shrinkToFit="0" vertical="center" wrapText="1"/>
    </xf>
    <xf borderId="1" fillId="0" fontId="6" numFmtId="0" xfId="0" applyAlignment="1" applyBorder="1" applyFont="1">
      <alignment horizontal="left" readingOrder="1" shrinkToFit="0" vertical="center" wrapText="1"/>
    </xf>
    <xf borderId="1" fillId="0" fontId="6" numFmtId="2" xfId="0" applyAlignment="1" applyBorder="1" applyFont="1" applyNumberFormat="1">
      <alignment horizontal="left" readingOrder="1" shrinkToFit="0" vertical="center" wrapText="1"/>
    </xf>
    <xf borderId="1" fillId="0" fontId="5" numFmtId="0" xfId="0" applyAlignment="1" applyBorder="1" applyFont="1">
      <alignment horizontal="left" readingOrder="1" shrinkToFit="0" vertical="center" wrapText="1"/>
    </xf>
    <xf borderId="1" fillId="0" fontId="7" numFmtId="0" xfId="0" applyAlignment="1" applyBorder="1" applyFont="1">
      <alignment shrinkToFit="0" vertical="top" wrapText="1"/>
    </xf>
    <xf borderId="1" fillId="0" fontId="5" numFmtId="2" xfId="0" applyAlignment="1" applyBorder="1" applyFont="1" applyNumberFormat="1">
      <alignment horizontal="left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12.29"/>
    <col customWidth="1" min="3" max="3" width="8.86"/>
    <col customWidth="1" min="4" max="4" width="10.71"/>
    <col customWidth="1" min="5" max="5" width="9.57"/>
    <col customWidth="1" min="6" max="6" width="10.71"/>
    <col customWidth="1" min="7" max="7" width="8.43"/>
    <col customWidth="1" min="8" max="26" width="10.71"/>
  </cols>
  <sheetData>
    <row r="1">
      <c r="A1" s="1" t="s">
        <v>0</v>
      </c>
      <c r="B1" s="2">
        <f>375</f>
        <v>375</v>
      </c>
    </row>
    <row r="3">
      <c r="A3" s="1" t="s">
        <v>1</v>
      </c>
      <c r="B3" s="1" t="s">
        <v>2</v>
      </c>
      <c r="C3" s="1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4</v>
      </c>
      <c r="B4" s="2">
        <v>5.0</v>
      </c>
      <c r="C4" s="2">
        <f t="shared" ref="C4:C8" si="1">$B$1*B4/100</f>
        <v>18.75</v>
      </c>
    </row>
    <row r="5">
      <c r="A5" s="2" t="s">
        <v>5</v>
      </c>
      <c r="B5" s="2">
        <v>15.0</v>
      </c>
      <c r="C5" s="2">
        <f t="shared" si="1"/>
        <v>56.25</v>
      </c>
    </row>
    <row r="6">
      <c r="A6" s="2" t="s">
        <v>6</v>
      </c>
      <c r="B6" s="2">
        <v>20.0</v>
      </c>
      <c r="C6" s="2">
        <f t="shared" si="1"/>
        <v>75</v>
      </c>
    </row>
    <row r="7">
      <c r="A7" s="2" t="s">
        <v>7</v>
      </c>
      <c r="B7" s="2">
        <v>20.0</v>
      </c>
      <c r="C7" s="2">
        <f t="shared" si="1"/>
        <v>75</v>
      </c>
    </row>
    <row r="8">
      <c r="A8" s="2" t="s">
        <v>8</v>
      </c>
      <c r="B8" s="2">
        <v>40.0</v>
      </c>
      <c r="C8" s="2">
        <f t="shared" si="1"/>
        <v>150</v>
      </c>
    </row>
    <row r="9">
      <c r="A9" s="2"/>
      <c r="B9" s="4">
        <f t="shared" ref="B9:C9" si="2">SUM(B4:B8)</f>
        <v>100</v>
      </c>
      <c r="C9" s="4">
        <f t="shared" si="2"/>
        <v>375</v>
      </c>
    </row>
    <row r="11">
      <c r="A11" s="5" t="s">
        <v>9</v>
      </c>
      <c r="B11" s="6">
        <f>C8</f>
        <v>150</v>
      </c>
    </row>
    <row r="13" ht="58.5" customHeight="1">
      <c r="A13" s="4"/>
      <c r="B13" s="7" t="s">
        <v>10</v>
      </c>
      <c r="C13" s="8"/>
      <c r="D13" s="7" t="s">
        <v>11</v>
      </c>
      <c r="E13" s="8"/>
      <c r="F13" s="7" t="s">
        <v>12</v>
      </c>
      <c r="G13" s="8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13</v>
      </c>
      <c r="B14" s="1" t="s">
        <v>2</v>
      </c>
      <c r="C14" s="1" t="s">
        <v>3</v>
      </c>
      <c r="D14" s="1" t="s">
        <v>2</v>
      </c>
      <c r="E14" s="1" t="s">
        <v>3</v>
      </c>
      <c r="F14" s="1" t="s">
        <v>2</v>
      </c>
      <c r="G14" s="1" t="s">
        <v>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4</v>
      </c>
      <c r="B15" s="2">
        <v>10.0</v>
      </c>
      <c r="C15" s="2">
        <f t="shared" ref="C15:C21" si="3">$B$11*B15/100</f>
        <v>15</v>
      </c>
      <c r="D15" s="2"/>
      <c r="E15" s="2"/>
      <c r="F15" s="2"/>
      <c r="G15" s="2"/>
    </row>
    <row r="16">
      <c r="A16" s="2" t="s">
        <v>14</v>
      </c>
      <c r="B16" s="2">
        <v>10.0</v>
      </c>
      <c r="C16" s="2">
        <f t="shared" si="3"/>
        <v>15</v>
      </c>
      <c r="D16" s="2">
        <v>10.0</v>
      </c>
      <c r="E16" s="2">
        <f t="shared" ref="E16:E21" si="4">$B$11*D16/100</f>
        <v>15</v>
      </c>
      <c r="F16" s="2">
        <v>10.0</v>
      </c>
      <c r="G16" s="2">
        <f t="shared" ref="G16:G21" si="5">$B$11*F16/100</f>
        <v>15</v>
      </c>
    </row>
    <row r="17">
      <c r="A17" s="2" t="s">
        <v>15</v>
      </c>
      <c r="B17" s="2">
        <v>10.0</v>
      </c>
      <c r="C17" s="2">
        <f t="shared" si="3"/>
        <v>15</v>
      </c>
      <c r="D17" s="2">
        <v>7.0</v>
      </c>
      <c r="E17" s="2">
        <f t="shared" si="4"/>
        <v>10.5</v>
      </c>
      <c r="F17" s="2">
        <v>7.0</v>
      </c>
      <c r="G17" s="2">
        <f t="shared" si="5"/>
        <v>10.5</v>
      </c>
    </row>
    <row r="18">
      <c r="A18" s="2" t="s">
        <v>16</v>
      </c>
      <c r="B18" s="2">
        <v>10.0</v>
      </c>
      <c r="C18" s="2">
        <f t="shared" si="3"/>
        <v>15</v>
      </c>
      <c r="D18" s="2">
        <v>6.0</v>
      </c>
      <c r="E18" s="2">
        <f t="shared" si="4"/>
        <v>9</v>
      </c>
      <c r="F18" s="2">
        <v>21.0</v>
      </c>
      <c r="G18" s="2">
        <f t="shared" si="5"/>
        <v>31.5</v>
      </c>
    </row>
    <row r="19">
      <c r="A19" s="2" t="s">
        <v>17</v>
      </c>
      <c r="B19" s="2">
        <v>20.0</v>
      </c>
      <c r="C19" s="2">
        <f t="shared" si="3"/>
        <v>30</v>
      </c>
      <c r="D19" s="2">
        <v>54.0</v>
      </c>
      <c r="E19" s="2">
        <f t="shared" si="4"/>
        <v>81</v>
      </c>
      <c r="F19" s="2">
        <v>33.0</v>
      </c>
      <c r="G19" s="2">
        <f t="shared" si="5"/>
        <v>49.5</v>
      </c>
    </row>
    <row r="20">
      <c r="A20" s="2" t="s">
        <v>18</v>
      </c>
      <c r="B20" s="2">
        <v>35.0</v>
      </c>
      <c r="C20" s="2">
        <f t="shared" si="3"/>
        <v>52.5</v>
      </c>
      <c r="D20" s="2">
        <v>21.0</v>
      </c>
      <c r="E20" s="2">
        <f t="shared" si="4"/>
        <v>31.5</v>
      </c>
      <c r="F20" s="2">
        <v>24.0</v>
      </c>
      <c r="G20" s="2">
        <f t="shared" si="5"/>
        <v>36</v>
      </c>
    </row>
    <row r="21" ht="15.75" customHeight="1">
      <c r="A21" s="2" t="s">
        <v>19</v>
      </c>
      <c r="B21" s="2">
        <v>5.0</v>
      </c>
      <c r="C21" s="2">
        <f t="shared" si="3"/>
        <v>7.5</v>
      </c>
      <c r="D21" s="2">
        <v>2.0</v>
      </c>
      <c r="E21" s="2">
        <f t="shared" si="4"/>
        <v>3</v>
      </c>
      <c r="F21" s="2">
        <v>5.0</v>
      </c>
      <c r="G21" s="2">
        <f t="shared" si="5"/>
        <v>7.5</v>
      </c>
    </row>
    <row r="22" ht="15.75" customHeight="1">
      <c r="A22" s="2" t="s">
        <v>20</v>
      </c>
      <c r="B22" s="2"/>
      <c r="C22" s="2"/>
      <c r="D22" s="2"/>
      <c r="E22" s="2"/>
      <c r="F22" s="2"/>
      <c r="G22" s="2"/>
    </row>
    <row r="23" ht="15.75" customHeight="1">
      <c r="A23" s="4"/>
      <c r="B23" s="4">
        <f t="shared" ref="B23:G23" si="6">SUM(B15:B21)</f>
        <v>100</v>
      </c>
      <c r="C23" s="4">
        <f t="shared" si="6"/>
        <v>150</v>
      </c>
      <c r="D23" s="4">
        <f t="shared" si="6"/>
        <v>100</v>
      </c>
      <c r="E23" s="4">
        <f t="shared" si="6"/>
        <v>150</v>
      </c>
      <c r="F23" s="4">
        <f t="shared" si="6"/>
        <v>100</v>
      </c>
      <c r="G23" s="4">
        <f t="shared" si="6"/>
        <v>150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3:C13"/>
    <mergeCell ref="D13:E13"/>
    <mergeCell ref="F13:G1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86"/>
    <col customWidth="1" min="2" max="3" width="12.29"/>
    <col customWidth="1" min="4" max="4" width="8.86"/>
    <col customWidth="1" min="5" max="5" width="10.71"/>
    <col customWidth="1" min="6" max="6" width="9.57"/>
    <col customWidth="1" min="7" max="26" width="10.71"/>
  </cols>
  <sheetData>
    <row r="1">
      <c r="A1" s="1" t="s">
        <v>21</v>
      </c>
      <c r="B1" s="2">
        <v>4.0</v>
      </c>
      <c r="C1" s="9"/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" t="s">
        <v>26</v>
      </c>
      <c r="B4" s="11">
        <v>2.0</v>
      </c>
      <c r="C4" s="2">
        <v>25.0</v>
      </c>
      <c r="D4" s="2">
        <f t="shared" ref="D4:D7" si="1">$B$1*C4</f>
        <v>100</v>
      </c>
    </row>
    <row r="5">
      <c r="A5" s="2" t="s">
        <v>27</v>
      </c>
      <c r="B5" s="2">
        <v>2.0</v>
      </c>
      <c r="C5" s="2">
        <f>B5*15</f>
        <v>30</v>
      </c>
      <c r="D5" s="2">
        <f t="shared" si="1"/>
        <v>120</v>
      </c>
    </row>
    <row r="6">
      <c r="A6" s="2" t="s">
        <v>28</v>
      </c>
      <c r="B6" s="2">
        <v>4.0</v>
      </c>
      <c r="C6" s="2">
        <f>4*8</f>
        <v>32</v>
      </c>
      <c r="D6" s="2">
        <f t="shared" si="1"/>
        <v>128</v>
      </c>
    </row>
    <row r="7">
      <c r="A7" s="2" t="s">
        <v>29</v>
      </c>
      <c r="B7" s="12">
        <f>B18/1000</f>
        <v>0.933</v>
      </c>
      <c r="C7" s="12">
        <f>B7*39</f>
        <v>36.387</v>
      </c>
      <c r="D7" s="12">
        <f t="shared" si="1"/>
        <v>145.548</v>
      </c>
    </row>
    <row r="9">
      <c r="A9" s="1" t="s">
        <v>30</v>
      </c>
      <c r="B9" s="1" t="s">
        <v>31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32</v>
      </c>
      <c r="B10" s="2">
        <v>124.0</v>
      </c>
    </row>
    <row r="11">
      <c r="A11" s="2" t="s">
        <v>33</v>
      </c>
      <c r="B11" s="2">
        <v>98.0</v>
      </c>
    </row>
    <row r="12">
      <c r="A12" s="2" t="s">
        <v>34</v>
      </c>
      <c r="B12" s="2">
        <v>141.0</v>
      </c>
    </row>
    <row r="13">
      <c r="A13" s="2" t="s">
        <v>35</v>
      </c>
      <c r="B13" s="2">
        <f t="shared" ref="B13:B15" si="2">B10</f>
        <v>124</v>
      </c>
    </row>
    <row r="14">
      <c r="A14" s="2" t="s">
        <v>36</v>
      </c>
      <c r="B14" s="2">
        <f t="shared" si="2"/>
        <v>98</v>
      </c>
    </row>
    <row r="15">
      <c r="A15" s="2" t="s">
        <v>37</v>
      </c>
      <c r="B15" s="2">
        <f t="shared" si="2"/>
        <v>141</v>
      </c>
    </row>
    <row r="16">
      <c r="A16" s="2" t="s">
        <v>38</v>
      </c>
      <c r="B16" s="2">
        <v>50.0</v>
      </c>
    </row>
    <row r="17">
      <c r="A17" s="10" t="s">
        <v>39</v>
      </c>
      <c r="B17" s="2">
        <f>46+11+31+21+48</f>
        <v>157</v>
      </c>
    </row>
    <row r="18">
      <c r="A18" s="4" t="s">
        <v>40</v>
      </c>
      <c r="B18" s="4">
        <f>SUM(B10:B17)</f>
        <v>933</v>
      </c>
    </row>
    <row r="20">
      <c r="A20" s="13" t="s">
        <v>41</v>
      </c>
      <c r="B20" s="8"/>
    </row>
    <row r="21" ht="15.75" customHeight="1">
      <c r="A21" s="1" t="s">
        <v>42</v>
      </c>
      <c r="B21" s="1" t="s">
        <v>43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" t="s">
        <v>44</v>
      </c>
      <c r="B22" s="2">
        <v>6.6</v>
      </c>
    </row>
    <row r="23" ht="15.75" customHeight="1">
      <c r="A23" s="2" t="s">
        <v>45</v>
      </c>
      <c r="B23" s="2">
        <v>10.0</v>
      </c>
    </row>
    <row r="24" ht="15.75" customHeight="1">
      <c r="A24" s="2" t="s">
        <v>46</v>
      </c>
      <c r="B24" s="2">
        <v>12.0</v>
      </c>
    </row>
    <row r="25" ht="15.75" customHeight="1">
      <c r="A25" s="2" t="s">
        <v>47</v>
      </c>
      <c r="B25" s="2">
        <v>16.0</v>
      </c>
    </row>
    <row r="26" ht="15.75" customHeight="1">
      <c r="A26" s="2" t="s">
        <v>48</v>
      </c>
      <c r="B26" s="2">
        <v>25.0</v>
      </c>
    </row>
    <row r="27" ht="15.75" customHeight="1">
      <c r="A27" s="2" t="s">
        <v>49</v>
      </c>
      <c r="B27" s="2">
        <v>39.0</v>
      </c>
    </row>
    <row r="28" ht="15.75" customHeight="1">
      <c r="A28" s="2" t="s">
        <v>50</v>
      </c>
      <c r="B28" s="2">
        <v>49.0</v>
      </c>
    </row>
    <row r="29" ht="15.75" customHeight="1">
      <c r="A29" s="2" t="s">
        <v>51</v>
      </c>
      <c r="B29" s="2">
        <v>60.0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0:B20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16.43"/>
    <col customWidth="1" min="3" max="4" width="10.71"/>
    <col customWidth="1" min="5" max="5" width="17.57"/>
    <col customWidth="1" min="6" max="26" width="10.71"/>
  </cols>
  <sheetData>
    <row r="1">
      <c r="A1" s="14" t="s">
        <v>52</v>
      </c>
      <c r="B1" s="15"/>
      <c r="C1" s="15"/>
      <c r="D1" s="15"/>
      <c r="E1" s="8"/>
    </row>
    <row r="2" ht="20.25" customHeight="1">
      <c r="A2" s="5" t="s">
        <v>53</v>
      </c>
      <c r="B2" s="5" t="s">
        <v>54</v>
      </c>
      <c r="C2" s="5" t="s">
        <v>25</v>
      </c>
      <c r="D2" s="5" t="s">
        <v>55</v>
      </c>
      <c r="E2" s="5" t="s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56</v>
      </c>
      <c r="B3" s="2" t="s">
        <v>57</v>
      </c>
      <c r="C3" s="2">
        <v>70.0</v>
      </c>
      <c r="D3" s="2" t="s">
        <v>58</v>
      </c>
      <c r="E3" s="2">
        <f t="shared" ref="E3:E7" si="1">IF(D3="x",C3,"")</f>
        <v>70</v>
      </c>
    </row>
    <row r="4">
      <c r="A4" s="2" t="s">
        <v>56</v>
      </c>
      <c r="B4" s="2" t="s">
        <v>59</v>
      </c>
      <c r="C4" s="2">
        <v>80.0</v>
      </c>
      <c r="D4" s="2"/>
      <c r="E4" s="2" t="str">
        <f t="shared" si="1"/>
        <v/>
      </c>
    </row>
    <row r="5">
      <c r="A5" s="2" t="s">
        <v>56</v>
      </c>
      <c r="B5" s="2" t="s">
        <v>60</v>
      </c>
      <c r="C5" s="2">
        <v>130.0</v>
      </c>
      <c r="D5" s="2"/>
      <c r="E5" s="2" t="str">
        <f t="shared" si="1"/>
        <v/>
      </c>
    </row>
    <row r="6" ht="14.25" customHeight="1">
      <c r="A6" s="2" t="s">
        <v>61</v>
      </c>
      <c r="B6" s="2" t="s">
        <v>60</v>
      </c>
      <c r="C6" s="2">
        <v>80.0</v>
      </c>
      <c r="D6" s="2" t="s">
        <v>58</v>
      </c>
      <c r="E6" s="2">
        <f t="shared" si="1"/>
        <v>80</v>
      </c>
    </row>
    <row r="7">
      <c r="A7" s="2" t="s">
        <v>62</v>
      </c>
      <c r="B7" s="2" t="s">
        <v>57</v>
      </c>
      <c r="C7" s="2">
        <v>28.0</v>
      </c>
      <c r="D7" s="2" t="s">
        <v>58</v>
      </c>
      <c r="E7" s="2">
        <f t="shared" si="1"/>
        <v>28</v>
      </c>
    </row>
    <row r="8">
      <c r="A8" s="4" t="s">
        <v>40</v>
      </c>
      <c r="B8" s="4"/>
      <c r="C8" s="4"/>
      <c r="D8" s="4"/>
      <c r="E8" s="4">
        <f>SUM(E3:E7)</f>
        <v>178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3" width="10.71"/>
    <col customWidth="1" min="4" max="4" width="18.43"/>
    <col customWidth="1" min="5" max="26" width="10.71"/>
  </cols>
  <sheetData>
    <row r="1">
      <c r="A1" s="16" t="s">
        <v>63</v>
      </c>
      <c r="B1" s="1" t="s">
        <v>64</v>
      </c>
      <c r="D1" s="1" t="s">
        <v>65</v>
      </c>
      <c r="E1" s="2">
        <f>150*0.5</f>
        <v>75</v>
      </c>
    </row>
    <row r="2">
      <c r="A2" s="10" t="s">
        <v>66</v>
      </c>
      <c r="B2" s="2">
        <v>1.5</v>
      </c>
    </row>
    <row r="3">
      <c r="A3" s="2" t="s">
        <v>67</v>
      </c>
      <c r="B3" s="2">
        <v>1.0</v>
      </c>
    </row>
    <row r="4">
      <c r="A4" s="2" t="s">
        <v>44</v>
      </c>
      <c r="B4" s="2">
        <v>0.6</v>
      </c>
    </row>
    <row r="5">
      <c r="A5" s="2"/>
      <c r="B5" s="2"/>
    </row>
    <row r="6">
      <c r="A6" s="16" t="s">
        <v>68</v>
      </c>
      <c r="B6" s="16" t="s">
        <v>23</v>
      </c>
      <c r="C6" s="16" t="s">
        <v>69</v>
      </c>
      <c r="D6" s="16" t="s">
        <v>64</v>
      </c>
      <c r="E6" s="16" t="s">
        <v>70</v>
      </c>
      <c r="F6" s="16" t="s">
        <v>71</v>
      </c>
    </row>
    <row r="7">
      <c r="A7" s="17" t="s">
        <v>72</v>
      </c>
      <c r="B7" s="17">
        <f>SUM('tamaño'!B10:B12)</f>
        <v>363</v>
      </c>
      <c r="C7" s="17" t="s">
        <v>66</v>
      </c>
      <c r="D7" s="17">
        <v>1.5</v>
      </c>
      <c r="E7" s="17">
        <f t="shared" ref="E7:E10" si="1">B7*D7</f>
        <v>544.5</v>
      </c>
      <c r="F7" s="18">
        <f t="shared" ref="F7:F10" si="2">E7*$E$1/$E$11</f>
        <v>37.92839231</v>
      </c>
    </row>
    <row r="8">
      <c r="A8" s="17" t="s">
        <v>73</v>
      </c>
      <c r="B8" s="17">
        <f>SUM('tamaño'!B13:B15)</f>
        <v>363</v>
      </c>
      <c r="C8" s="17" t="s">
        <v>67</v>
      </c>
      <c r="D8" s="17">
        <v>1.0</v>
      </c>
      <c r="E8" s="17">
        <f t="shared" si="1"/>
        <v>363</v>
      </c>
      <c r="F8" s="18">
        <f t="shared" si="2"/>
        <v>25.28559487</v>
      </c>
    </row>
    <row r="9">
      <c r="A9" s="17" t="s">
        <v>74</v>
      </c>
      <c r="B9" s="17">
        <f>'tamaño'!B16</f>
        <v>50</v>
      </c>
      <c r="C9" s="17" t="s">
        <v>66</v>
      </c>
      <c r="D9" s="17">
        <v>1.5</v>
      </c>
      <c r="E9" s="17">
        <f t="shared" si="1"/>
        <v>75</v>
      </c>
      <c r="F9" s="18">
        <f t="shared" si="2"/>
        <v>5.224296461</v>
      </c>
    </row>
    <row r="10">
      <c r="A10" s="17" t="s">
        <v>75</v>
      </c>
      <c r="B10" s="17">
        <f>'tamaño'!B17</f>
        <v>157</v>
      </c>
      <c r="C10" s="17" t="s">
        <v>44</v>
      </c>
      <c r="D10" s="17">
        <v>0.6</v>
      </c>
      <c r="E10" s="17">
        <f t="shared" si="1"/>
        <v>94.2</v>
      </c>
      <c r="F10" s="18">
        <f t="shared" si="2"/>
        <v>6.561716356</v>
      </c>
    </row>
    <row r="11">
      <c r="A11" s="19" t="s">
        <v>40</v>
      </c>
      <c r="B11" s="20"/>
      <c r="C11" s="20"/>
      <c r="D11" s="20"/>
      <c r="E11" s="19">
        <f t="shared" ref="E11:F11" si="3">SUM(E7:E10)</f>
        <v>1076.7</v>
      </c>
      <c r="F11" s="21">
        <f t="shared" si="3"/>
        <v>75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12.29"/>
    <col customWidth="1" min="3" max="3" width="8.86"/>
    <col customWidth="1" min="4" max="4" width="10.71"/>
    <col customWidth="1" min="5" max="5" width="9.57"/>
    <col customWidth="1" min="6" max="26" width="10.71"/>
  </cols>
  <sheetData>
    <row r="1">
      <c r="A1" s="1" t="s">
        <v>76</v>
      </c>
      <c r="B1" s="2">
        <v>2.0</v>
      </c>
    </row>
    <row r="3">
      <c r="A3" s="1" t="s">
        <v>22</v>
      </c>
      <c r="B3" s="1" t="s">
        <v>23</v>
      </c>
      <c r="C3" s="1" t="s">
        <v>25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77</v>
      </c>
      <c r="B4" s="12">
        <v>25.0</v>
      </c>
      <c r="C4" s="12">
        <f>B4/B1</f>
        <v>12.5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2013-03-06T17:23:35Z</dcterms:created>
  <dc:creator>Javier Nogueras</dc:creator>
</cp:coreProperties>
</file>