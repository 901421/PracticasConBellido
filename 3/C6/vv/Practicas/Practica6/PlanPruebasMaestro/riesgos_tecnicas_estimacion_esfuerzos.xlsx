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rcionalBasadaEnRiesgos" sheetId="1" r:id="rId4"/>
  </sheets>
  <definedNames/>
  <calcPr/>
  <extLst>
    <ext uri="GoogleSheetsCustomDataVersion2">
      <go:sheetsCustomData xmlns:go="http://customooxmlschemas.google.com/" r:id="rId5" roundtripDataChecksum="aOh1+fB4sbHDS77BDr1zGnMFWOY/EEdVugL3EBchSn4="/>
    </ext>
  </extLst>
</workbook>
</file>

<file path=xl/sharedStrings.xml><?xml version="1.0" encoding="utf-8"?>
<sst xmlns="http://schemas.openxmlformats.org/spreadsheetml/2006/main" count="47" uniqueCount="43">
  <si>
    <t>Clase</t>
  </si>
  <si>
    <t>Factor</t>
  </si>
  <si>
    <t>Horas nivel pruebas</t>
  </si>
  <si>
    <t>A</t>
  </si>
  <si>
    <t>B</t>
  </si>
  <si>
    <t>C</t>
  </si>
  <si>
    <t>Componente</t>
  </si>
  <si>
    <t>Tamaño</t>
  </si>
  <si>
    <t>Clase de riesgo</t>
  </si>
  <si>
    <t>Tamaño x Factor</t>
  </si>
  <si>
    <t>Nº horas</t>
  </si>
  <si>
    <t>Gestión de quads</t>
  </si>
  <si>
    <t>Gestión  de reservas</t>
  </si>
  <si>
    <t>Envío de mensajes</t>
  </si>
  <si>
    <t>Total</t>
  </si>
  <si>
    <t>SendAbstraction</t>
  </si>
  <si>
    <t>Reserva</t>
  </si>
  <si>
    <t>Quad</t>
  </si>
  <si>
    <t>SendImplementor</t>
  </si>
  <si>
    <t>ReservaConQuads</t>
  </si>
  <si>
    <t>QuadDao</t>
  </si>
  <si>
    <t>SendAbstractionImpl</t>
  </si>
  <si>
    <t>ReservaQuad</t>
  </si>
  <si>
    <t>QuadRoomDatabase</t>
  </si>
  <si>
    <t>SMSImplementor</t>
  </si>
  <si>
    <t>ReservaDao</t>
  </si>
  <si>
    <t>QuadRepository</t>
  </si>
  <si>
    <t>WhatsAppImplementor</t>
  </si>
  <si>
    <t>ReservaRepository</t>
  </si>
  <si>
    <t>QuadViewHolder</t>
  </si>
  <si>
    <t>ReservaViewHolder</t>
  </si>
  <si>
    <t>QuadListAdapter</t>
  </si>
  <si>
    <t>SelectedQuad</t>
  </si>
  <si>
    <t>QuadViewModel</t>
  </si>
  <si>
    <t>ReservaListAdapter</t>
  </si>
  <si>
    <t>QuadEdit</t>
  </si>
  <si>
    <t>SistemaReservas</t>
  </si>
  <si>
    <t>QuadListActivity</t>
  </si>
  <si>
    <t>QuadSelectionAdapter</t>
  </si>
  <si>
    <t>ReservaViewModel</t>
  </si>
  <si>
    <t>QuadSelectionActivity</t>
  </si>
  <si>
    <t>ReservaEdit</t>
  </si>
  <si>
    <t>ReservaListActivity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</si>
</sst>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000000"/>
      <name val="Tahoma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00000"/>
      <name val="Tahoma"/>
    </font>
    <font>
      <sz val="10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1" fillId="2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1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2" xfId="0" applyAlignment="1" applyBorder="1" applyFont="1" applyNumberFormat="1">
      <alignment horizontal="left" readingOrder="1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1" numFmtId="2" xfId="0" applyAlignment="1" applyBorder="1" applyFont="1" applyNumberFormat="1">
      <alignment horizontal="left" readingOrder="1" shrinkToFit="0" vertical="center" wrapText="1"/>
    </xf>
    <xf borderId="0" fillId="0" fontId="3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3" width="10.71"/>
    <col customWidth="1" min="4" max="4" width="18.43"/>
    <col customWidth="1" min="5" max="26" width="10.71"/>
  </cols>
  <sheetData>
    <row r="1">
      <c r="A1" s="1" t="s">
        <v>0</v>
      </c>
      <c r="B1" s="2" t="s">
        <v>1</v>
      </c>
      <c r="D1" s="2" t="s">
        <v>2</v>
      </c>
      <c r="E1" s="3">
        <f>150*0.5</f>
        <v>75</v>
      </c>
    </row>
    <row r="2">
      <c r="A2" s="4" t="s">
        <v>3</v>
      </c>
      <c r="B2" s="3">
        <v>1.5</v>
      </c>
    </row>
    <row r="3">
      <c r="A3" s="3" t="s">
        <v>4</v>
      </c>
      <c r="B3" s="3">
        <v>1.0</v>
      </c>
    </row>
    <row r="4">
      <c r="A4" s="3" t="s">
        <v>5</v>
      </c>
      <c r="B4" s="3">
        <v>0.6</v>
      </c>
    </row>
    <row r="5">
      <c r="A5" s="3"/>
      <c r="B5" s="3"/>
    </row>
    <row r="6">
      <c r="A6" s="1" t="s">
        <v>6</v>
      </c>
      <c r="B6" s="1" t="s">
        <v>7</v>
      </c>
      <c r="C6" s="1" t="s">
        <v>8</v>
      </c>
      <c r="D6" s="1" t="s">
        <v>1</v>
      </c>
      <c r="E6" s="1" t="s">
        <v>9</v>
      </c>
      <c r="F6" s="1" t="s">
        <v>10</v>
      </c>
    </row>
    <row r="7">
      <c r="A7" s="5" t="s">
        <v>11</v>
      </c>
      <c r="B7" s="5">
        <f>SUM(H13:H21)</f>
        <v>1081</v>
      </c>
      <c r="C7" s="6" t="s">
        <v>4</v>
      </c>
      <c r="D7" s="6">
        <v>1.0</v>
      </c>
      <c r="E7" s="5">
        <f t="shared" ref="E7:E9" si="1">B7*D7</f>
        <v>1081</v>
      </c>
      <c r="F7" s="7">
        <f t="shared" ref="F7:F9" si="2">E7*$E$1/$E$10</f>
        <v>23.75058589</v>
      </c>
    </row>
    <row r="8">
      <c r="A8" s="5" t="s">
        <v>12</v>
      </c>
      <c r="B8" s="5">
        <f>SUM(E13:E26)</f>
        <v>2182</v>
      </c>
      <c r="C8" s="6" t="s">
        <v>4</v>
      </c>
      <c r="D8" s="6">
        <v>1.0</v>
      </c>
      <c r="E8" s="5">
        <f t="shared" si="1"/>
        <v>2182</v>
      </c>
      <c r="F8" s="7">
        <f t="shared" si="2"/>
        <v>47.94059058</v>
      </c>
    </row>
    <row r="9">
      <c r="A9" s="5" t="s">
        <v>13</v>
      </c>
      <c r="B9" s="5">
        <f>SUM(B13:B17)</f>
        <v>251</v>
      </c>
      <c r="C9" s="5" t="s">
        <v>5</v>
      </c>
      <c r="D9" s="5">
        <v>0.6</v>
      </c>
      <c r="E9" s="5">
        <f t="shared" si="1"/>
        <v>150.6</v>
      </c>
      <c r="F9" s="7">
        <f t="shared" si="2"/>
        <v>3.308823529</v>
      </c>
    </row>
    <row r="10">
      <c r="A10" s="8" t="s">
        <v>14</v>
      </c>
      <c r="B10" s="9">
        <f>SUM(B7:B9)</f>
        <v>3514</v>
      </c>
      <c r="C10" s="9"/>
      <c r="D10" s="9"/>
      <c r="E10" s="8">
        <f t="shared" ref="E10:F10" si="3">SUM(E7:E9)</f>
        <v>3413.6</v>
      </c>
      <c r="F10" s="10">
        <f t="shared" si="3"/>
        <v>75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3">
      <c r="A13" s="12" t="s">
        <v>15</v>
      </c>
      <c r="B13" s="12">
        <v>19.0</v>
      </c>
      <c r="D13" s="12" t="s">
        <v>16</v>
      </c>
      <c r="E13" s="12">
        <v>74.0</v>
      </c>
      <c r="G13" s="12" t="s">
        <v>17</v>
      </c>
      <c r="H13" s="12">
        <v>85.0</v>
      </c>
    </row>
    <row r="14">
      <c r="A14" s="12" t="s">
        <v>18</v>
      </c>
      <c r="B14" s="12">
        <v>36.0</v>
      </c>
      <c r="D14" s="12" t="s">
        <v>19</v>
      </c>
      <c r="E14" s="12">
        <v>39.0</v>
      </c>
      <c r="G14" s="12" t="s">
        <v>20</v>
      </c>
      <c r="H14" s="12">
        <v>88.0</v>
      </c>
    </row>
    <row r="15">
      <c r="A15" s="12" t="s">
        <v>21</v>
      </c>
      <c r="B15" s="12">
        <v>46.0</v>
      </c>
      <c r="D15" s="12" t="s">
        <v>22</v>
      </c>
      <c r="E15" s="12">
        <v>73.0</v>
      </c>
      <c r="G15" s="12" t="s">
        <v>23</v>
      </c>
      <c r="H15" s="12">
        <v>115.0</v>
      </c>
    </row>
    <row r="16">
      <c r="A16" s="12" t="s">
        <v>24</v>
      </c>
      <c r="B16" s="12">
        <v>59.0</v>
      </c>
      <c r="D16" s="12" t="s">
        <v>25</v>
      </c>
      <c r="E16" s="12">
        <v>107.0</v>
      </c>
      <c r="G16" s="12" t="s">
        <v>26</v>
      </c>
      <c r="H16" s="12">
        <v>179.0</v>
      </c>
    </row>
    <row r="17">
      <c r="A17" s="12" t="s">
        <v>27</v>
      </c>
      <c r="B17" s="12">
        <v>91.0</v>
      </c>
      <c r="D17" s="12" t="s">
        <v>28</v>
      </c>
      <c r="E17" s="12">
        <v>172.0</v>
      </c>
      <c r="G17" s="12" t="s">
        <v>29</v>
      </c>
      <c r="H17" s="12">
        <v>77.0</v>
      </c>
    </row>
    <row r="18">
      <c r="D18" s="12" t="s">
        <v>30</v>
      </c>
      <c r="E18" s="12">
        <v>81.0</v>
      </c>
      <c r="G18" s="12" t="s">
        <v>31</v>
      </c>
      <c r="H18" s="12">
        <v>101.0</v>
      </c>
    </row>
    <row r="19">
      <c r="D19" s="12" t="s">
        <v>32</v>
      </c>
      <c r="E19" s="12">
        <v>82.0</v>
      </c>
      <c r="G19" s="12" t="s">
        <v>33</v>
      </c>
      <c r="H19" s="12">
        <v>104.0</v>
      </c>
    </row>
    <row r="20" ht="15.75" customHeight="1">
      <c r="D20" s="12" t="s">
        <v>34</v>
      </c>
      <c r="E20" s="12">
        <v>115.0</v>
      </c>
      <c r="G20" s="12" t="s">
        <v>35</v>
      </c>
      <c r="H20" s="12">
        <v>146.0</v>
      </c>
    </row>
    <row r="21" ht="15.75" customHeight="1">
      <c r="D21" s="12" t="s">
        <v>36</v>
      </c>
      <c r="E21" s="12">
        <v>147.0</v>
      </c>
      <c r="G21" s="12" t="s">
        <v>37</v>
      </c>
      <c r="H21" s="12">
        <v>186.0</v>
      </c>
    </row>
    <row r="22" ht="15.75" customHeight="1">
      <c r="D22" s="12" t="s">
        <v>38</v>
      </c>
      <c r="E22" s="12">
        <v>181.0</v>
      </c>
    </row>
    <row r="23" ht="15.75" customHeight="1">
      <c r="D23" s="12" t="s">
        <v>39</v>
      </c>
      <c r="E23" s="12">
        <v>188.0</v>
      </c>
    </row>
    <row r="24" ht="15.75" customHeight="1">
      <c r="D24" s="12" t="s">
        <v>40</v>
      </c>
      <c r="E24" s="12">
        <v>256.0</v>
      </c>
    </row>
    <row r="25" ht="15.75" customHeight="1">
      <c r="D25" s="12" t="s">
        <v>41</v>
      </c>
      <c r="E25" s="12">
        <v>284.0</v>
      </c>
      <c r="G25" s="12"/>
      <c r="H25" s="12"/>
    </row>
    <row r="26" ht="15.75" customHeight="1">
      <c r="D26" s="12" t="s">
        <v>42</v>
      </c>
      <c r="E26" s="12">
        <v>383.0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2013-03-06T17:23:35Z</dcterms:created>
  <dc:creator>Javier Nogueras</dc:creator>
</cp:coreProperties>
</file>